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2eb0a5ebf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算見積" sheetId="1" r:id="R62d76c6b47f9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C2936"/>
      <x:name val="Noto Sans CJK JP"/>
    </x:font>
    <x:font>
      <x:b/>
      <x:sz val="15"/>
      <x:color rgb="FF13273A"/>
      <x:name val="Noto Sans CJK JP"/>
    </x:font>
    <x:font>
      <x:sz val="10"/>
      <x:color rgb="FF46566A"/>
      <x:name val="Noto Sans CJK JP"/>
    </x:font>
    <x:font>
      <x:b/>
      <x:sz val="10"/>
      <x:color rgb="FF20354B"/>
      <x:name val="Noto Sans CJK JP"/>
    </x:font>
    <x:font>
      <x:b/>
      <x:sz val="11"/>
      <x:color rgb="FF253A50"/>
      <x:name val="Noto Sans CJK JP"/>
    </x:font>
    <x:font>
      <x:b/>
      <x:sz val="10"/>
      <x:color rgb="FFFFFFFF"/>
      <x:name val="Noto Sans CJK JP"/>
    </x:font>
  </x:fonts>
  <x:fills count="5">
    <x:fill>
      <x:patternFill patternType="none"/>
    </x:fill>
    <x:fill>
      <x:patternFill patternType="gray125"/>
    </x:fill>
    <x:fill>
      <x:patternFill patternType="solid">
        <x:fgColor rgb="FFE8F0F5"/>
      </x:patternFill>
    </x:fill>
    <x:fill>
      <x:patternFill patternType="solid">
        <x:fgColor rgb="FF253A50"/>
      </x:patternFill>
    </x:fill>
    <x:fill>
      <x:patternFill patternType="solid">
        <x:fgColor rgb="FFF2F6F9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4" fillId="2" borderId="0" xfId="0" applyNumberFormat="1" applyFont="1" applyFill="1" applyBorder="1" applyAlignment="1">
      <x:alignment horizontal="right" vertical="center" wrapText="1"/>
    </x:xf>
    <x:xf numFmtId="200" fontId="6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bbe302b234689" /><Relationship Type="http://schemas.openxmlformats.org/officeDocument/2006/relationships/theme" Target="/xl/theme/theme1.xml" Id="R54f125cefecc4ac3" /><Relationship Type="http://schemas.openxmlformats.org/officeDocument/2006/relationships/sharedStrings" Target="/xl/sharedStrings.xml" Id="Rf598e2775d4f4113" /><Relationship Type="http://schemas.openxmlformats.org/officeDocument/2006/relationships/worksheet" Target="/xl/worksheets/sheet1.xml" Id="R62d76c6b47f9434c" /></Relationships>
</file>

<file path=xl/tables/table1.xml><?xml version="1.0" encoding="utf-8"?>
<x:table xmlns:x="http://schemas.openxmlformats.org/spreadsheetml/2006/main" id="1" name="BaseEstimate" displayName="BaseEstimate" ref="A6:G14" headerRowCount="1" totalsRowCount="0" totalsRowShown="0">
  <x:autoFilter ref="A6:G14"/>
  <x:tableColumns count="7">
    <x:tableColumn id="1" name="No"/>
    <x:tableColumn id="2" name="工程"/>
    <x:tableColumn id="3" name="作業・成果物の例"/>
    <x:tableColumn id="4" name="工数 人日"/>
    <x:tableColumn id="5" name="単価 円/人日"/>
    <x:tableColumn id="6" name="金額 円"/>
    <x:tableColumn id="7" name="見積りの前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a37f3252f4fc9" /></Relationships>
</file>

<file path=xl/worksheets/sheet1.xml><?xml version="1.0" encoding="utf-8"?>
<x:worksheet xmlns:x="http://schemas.openxmlformats.org/spreadsheetml/2006/main">
  <x:sheetPr>
    <x:tabColor rgb="FF253A5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.5" hidden="0" customWidth="1"/>
    <x:col min="2" max="2" width="17.799999237060547" hidden="0" customWidth="1"/>
    <x:col min="3" max="3" width="33.70000076293945" hidden="0" customWidth="1"/>
    <x:col min="4" max="4" width="10.5" hidden="0" customWidth="1"/>
    <x:col min="5" max="5" width="13.5" hidden="0" customWidth="1"/>
    <x:col min="6" max="6" width="16.399999618530273" hidden="0" customWidth="1"/>
    <x:col min="7" max="7" width="45.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3" customHeight="1">
      <x:c r="A2" s="2" t="str">
        <x:v>顧客管理システム刷新 概算見積書</x:v>
      </x:c>
      <x:c r="B2" s="1"/>
      <x:c r="C2" s="1"/>
      <x:c r="D2" s="1"/>
      <x:c r="E2" s="1"/>
      <x:c r="F2" s="1"/>
      <x:c r="G2" s="1"/>
    </x:row>
    <x:row r="3" ht="21.75" customHeight="1">
      <x:c r="A3" s="3" t="str">
        <x:v>PROP-2026-001  2026年7月24日  提案事業者A（架空）  RFP-2026-001・質問回答Q-01～Q-18に基づく例示</x:v>
      </x:c>
      <x:c r="B3" s="1"/>
      <x:c r="C3" s="1"/>
      <x:c r="D3" s="1"/>
      <x:c r="E3" s="1"/>
      <x:c r="F3" s="1"/>
      <x:c r="G3" s="1"/>
    </x:row>
    <x:row r="4" ht="34.5" customHeight="1">
      <x:c r="A4" s="6" t="str">
        <x:v>基本案</x:v>
      </x:c>
      <x:c r="B4" s="8" t="n">
        <x:f>F15</x:f>
        <x:v>34750000</x:v>
      </x:c>
      <x:c r="C4" s="6" t="str">
        <x:v>移行実行 別案</x:v>
      </x:c>
      <x:c r="D4" s="8" t="n">
        <x:f>F20</x:f>
        <x:v>3600000</x:v>
      </x:c>
      <x:c r="E4" s="6" t="str">
        <x:v>両案合計</x:v>
      </x:c>
      <x:c r="F4" s="8" t="n">
        <x:f>B4+D4</x:f>
        <x:v>38350000</x:v>
      </x:c>
      <x:c r="G4" s="5" t="str">
        <x:v>円・税別。単価はサンプル用の仮定</x:v>
      </x:c>
    </x:row>
    <x:row r="5" ht="24" customHeight="1">
      <x:c r="A5" s="9" t="str">
        <x:v>基本案  移行実行・第三者費用を除く</x:v>
      </x:c>
      <x:c r="B5" s="1"/>
      <x:c r="C5" s="1"/>
      <x:c r="D5" s="1"/>
      <x:c r="E5" s="1"/>
      <x:c r="F5" s="1"/>
      <x:c r="G5" s="1"/>
    </x:row>
    <x:row r="6" ht="25.5" customHeight="1">
      <x:c r="A6" s="14" t="str">
        <x:v>No</x:v>
      </x:c>
      <x:c r="B6" s="14" t="str">
        <x:v>工程</x:v>
      </x:c>
      <x:c r="C6" s="14" t="str">
        <x:v>作業・成果物の例</x:v>
      </x:c>
      <x:c r="D6" s="14" t="str">
        <x:v>工数 人日</x:v>
      </x:c>
      <x:c r="E6" s="14" t="str">
        <x:v>単価 円/人日</x:v>
      </x:c>
      <x:c r="F6" s="14" t="str">
        <x:v>金額 円</x:v>
      </x:c>
      <x:c r="G6" s="14" t="str">
        <x:v>見積りの前提</x:v>
      </x:c>
    </x:row>
    <x:row r="7" ht="51" customHeight="1">
      <x:c r="A7" s="33" t="str">
        <x:v>1</x:v>
      </x:c>
      <x:c r="B7" s="18" t="str">
        <x:v>プロジェクト管理</x:v>
      </x:c>
      <x:c r="C7" s="19" t="str">
        <x:v>計画、課題・変更管理、進捗報告、関係者調整</x:v>
      </x:c>
      <x:c r="D7" s="29" t="n">
        <x:v>40</x:v>
      </x:c>
      <x:c r="E7" s="29" t="n">
        <x:v>110000</x:v>
      </x:c>
      <x:c r="F7" s="29" t="n">
        <x:f>D7*E7</x:f>
        <x:v>4400000</x:v>
      </x:c>
      <x:c r="G7" s="19" t="str">
        <x:v>全期間に必要な比率で参加。発注側の業務承認は含まない。</x:v>
      </x:c>
    </x:row>
    <x:row r="8" ht="51" customHeight="1">
      <x:c r="A8" s="34" t="str">
        <x:v>2</x:v>
      </x:c>
      <x:c r="B8" s="20" t="str">
        <x:v>要件定義</x:v>
      </x:c>
      <x:c r="C8" s="21" t="str">
        <x:v>現状調査、打ち合わせ、要件定義書・業務フロー・課題一覧</x:v>
      </x:c>
      <x:c r="D8" s="30" t="n">
        <x:v>45</x:v>
      </x:c>
      <x:c r="E8" s="30" t="n">
        <x:v>100000</x:v>
      </x:c>
      <x:c r="F8" s="30" t="n">
        <x:f>D8*E8</x:f>
        <x:v>4500000</x:v>
      </x:c>
      <x:c r="G8" s="21" t="str">
        <x:v>約6週間、90分の打ち合わせ10～12回。準備・議事・文書更新を含む。</x:v>
      </x:c>
    </x:row>
    <x:row r="9" ht="51" customHeight="1">
      <x:c r="A9" s="33" t="str">
        <x:v>3</x:v>
      </x:c>
      <x:c r="B9" s="18" t="str">
        <x:v>設計</x:v>
      </x:c>
      <x:c r="C9" s="19" t="str">
        <x:v>画面、API外部契約・内部処理、バッチ、連携、データ、共通処理</x:v>
      </x:c>
      <x:c r="D9" s="29" t="n">
        <x:v>65</x:v>
      </x:c>
      <x:c r="E9" s="29" t="n">
        <x:v>95000</x:v>
      </x:c>
      <x:c r="F9" s="29" t="n">
        <x:f>D9*E9</x:f>
        <x:v>6175000</x:v>
      </x:c>
      <x:c r="G9" s="19" t="str">
        <x:v>画面数・API本数は未固定。既存資料と外部接続条件を要件定義で確認。</x:v>
      </x:c>
    </x:row>
    <x:row r="10" ht="51" customHeight="1">
      <x:c r="A10" s="34" t="str">
        <x:v>4</x:v>
      </x:c>
      <x:c r="B10" s="20" t="str">
        <x:v>画面・API開発</x:v>
      </x:c>
      <x:c r="C10" s="21" t="str">
        <x:v>社内画面、顧客参照・登録・更新・出力、認可と記録</x:v>
      </x:c>
      <x:c r="D10" s="30" t="n">
        <x:v>80</x:v>
      </x:c>
      <x:c r="E10" s="30" t="n">
        <x:v>90000</x:v>
      </x:c>
      <x:c r="F10" s="30" t="n">
        <x:f>D10*E10</x:f>
        <x:v>7200000</x:v>
      </x:c>
      <x:c r="G10" s="21" t="str">
        <x:v>RFP第3章の業務機能。認証基盤の仕様提供時期に依存。</x:v>
      </x:c>
    </x:row>
    <x:row r="11" ht="51" customHeight="1">
      <x:c r="A11" s="33" t="str">
        <x:v>5</x:v>
      </x:c>
      <x:c r="B11" s="18" t="str">
        <x:v>バッチ・外部連携開発</x:v>
      </x:c>
      <x:c r="C11" s="19" t="str">
        <x:v>対象の取込み・加工・配布、法人情報利用、失敗の追跡</x:v>
      </x:c>
      <x:c r="D11" s="29" t="n">
        <x:v>50</x:v>
      </x:c>
      <x:c r="E11" s="29" t="n">
        <x:v>95000</x:v>
      </x:c>
      <x:c r="F11" s="29" t="n">
        <x:f>D11*E11</x:f>
        <x:v>4750000</x:v>
      </x:c>
      <x:c r="G11" s="19" t="str">
        <x:v>入力元・配布方式・外部契約は未確定。連携先内部改修は除外。</x:v>
      </x:c>
    </x:row>
    <x:row r="12" ht="51" customHeight="1">
      <x:c r="A12" s="34" t="str">
        <x:v>6</x:v>
      </x:c>
      <x:c r="B12" s="20" t="str">
        <x:v>試験・受入支援</x:v>
      </x:c>
      <x:c r="C12" s="21" t="str">
        <x:v>単体・結合・総合試験、結果記録と受入試験の支援</x:v>
      </x:c>
      <x:c r="D12" s="30" t="n">
        <x:v>60</x:v>
      </x:c>
      <x:c r="E12" s="30" t="n">
        <x:v>85000</x:v>
      </x:c>
      <x:c r="F12" s="30" t="n">
        <x:f>D12*E12</x:f>
        <x:v>5100000</x:v>
      </x:c>
      <x:c r="G12" s="21" t="str">
        <x:v>受入条件と性能目標は要件定義で決定。発注側の受入判定は含まない。</x:v>
      </x:c>
    </x:row>
    <x:row r="13" ht="51" customHeight="1">
      <x:c r="A13" s="33" t="str">
        <x:v>7</x:v>
      </x:c>
      <x:c r="B13" s="18" t="str">
        <x:v>移行調査・切替計画</x:v>
      </x:c>
      <x:c r="C13" s="19" t="str">
        <x:v>旧データ調査、移行要否・品質・件数の確認、切替計画</x:v>
      </x:c>
      <x:c r="D13" s="29" t="n">
        <x:v>15</x:v>
      </x:c>
      <x:c r="E13" s="29" t="n">
        <x:v>90000</x:v>
      </x:c>
      <x:c r="F13" s="29" t="n">
        <x:f>D13*E13</x:f>
        <x:v>1350000</x:v>
      </x:c>
      <x:c r="G13" s="19" t="str">
        <x:v>移行の実行は含まない。旧データと連携仕様の提供を受けて計画。</x:v>
      </x:c>
    </x:row>
    <x:row r="14" ht="51" customHeight="1">
      <x:c r="A14" s="34" t="str">
        <x:v>8</x:v>
      </x:c>
      <x:c r="B14" s="20" t="str">
        <x:v>運用引継ぎ</x:v>
      </x:c>
      <x:c r="C14" s="21" t="str">
        <x:v>監視・障害対応・変更の手順書、説明と引継ぎ</x:v>
      </x:c>
      <x:c r="D14" s="30" t="n">
        <x:v>15</x:v>
      </x:c>
      <x:c r="E14" s="30" t="n">
        <x:v>85000</x:v>
      </x:c>
      <x:c r="F14" s="30" t="n">
        <x:f>D14*E14</x:f>
        <x:v>1275000</x:v>
      </x:c>
      <x:c r="G14" s="21" t="str">
        <x:v>恒常的な本番運用代行は含まない。</x:v>
      </x:c>
    </x:row>
    <x:row r="15" ht="29.25" customHeight="1">
      <x:c r="A15" s="35"/>
      <x:c r="B15" s="6" t="str">
        <x:v>基本案 合計</x:v>
      </x:c>
      <x:c r="C15" s="23"/>
      <x:c r="D15" s="31" t="n">
        <x:f>SUM(D7:D14)</x:f>
        <x:v>370</x:v>
      </x:c>
      <x:c r="E15" s="31"/>
      <x:c r="F15" s="31" t="n">
        <x:f>SUM(F7:F14)</x:f>
        <x:v>34750000</x:v>
      </x:c>
      <x:c r="G15" s="23" t="str">
        <x:v>価格は架空の計算例。税額および第三者費用を含まない。</x:v>
      </x:c>
    </x:row>
    <x:row r="16">
      <x:c r="A16" s="33"/>
      <x:c r="B16" s="18"/>
      <x:c r="C16" s="19"/>
      <x:c r="D16" s="29"/>
      <x:c r="E16" s="29"/>
      <x:c r="F16" s="29"/>
      <x:c r="G16" s="19"/>
    </x:row>
    <x:row r="17" ht="27" customHeight="1">
      <x:c r="A17" s="36" t="str">
        <x:v>追加案  既存データ移行の実行</x:v>
      </x:c>
      <x:c r="B17" s="18"/>
      <x:c r="C17" s="19"/>
      <x:c r="D17" s="29"/>
      <x:c r="E17" s="29"/>
      <x:c r="F17" s="29"/>
      <x:c r="G17" s="19"/>
    </x:row>
    <x:row r="18" ht="25.5" customHeight="1">
      <x:c r="A18" s="14" t="str">
        <x:v>No</x:v>
      </x:c>
      <x:c r="B18" s="14" t="str">
        <x:v>工程</x:v>
      </x:c>
      <x:c r="C18" s="14" t="str">
        <x:v>作業・成果物の例</x:v>
      </x:c>
      <x:c r="D18" s="32" t="str">
        <x:v>工数 人日</x:v>
      </x:c>
      <x:c r="E18" s="32" t="str">
        <x:v>単価 円/人日</x:v>
      </x:c>
      <x:c r="F18" s="32" t="str">
        <x:v>金額 円</x:v>
      </x:c>
      <x:c r="G18" s="14" t="str">
        <x:v>見積りの前提</x:v>
      </x:c>
    </x:row>
    <x:row r="19" ht="52.5" customHeight="1">
      <x:c r="A19" s="33" t="str">
        <x:v>9</x:v>
      </x:c>
      <x:c r="B19" s="18" t="str">
        <x:v>既存データ移行実行</x:v>
      </x:c>
      <x:c r="C19" s="19" t="str">
        <x:v>移行プログラム、リハーサル、データ照合、本番移行</x:v>
      </x:c>
      <x:c r="D19" s="29" t="n">
        <x:v>40</x:v>
      </x:c>
      <x:c r="E19" s="29" t="n">
        <x:v>90000</x:v>
      </x:c>
      <x:c r="F19" s="29" t="n">
        <x:f>D19*E19</x:f>
        <x:v>3600000</x:v>
      </x:c>
      <x:c r="G19" s="19" t="str">
        <x:v>要否・件数・品質が未確定。要件定義後に範囲・費用・日程を見直す。</x:v>
      </x:c>
    </x:row>
    <x:row r="20" ht="29.25" customHeight="1">
      <x:c r="A20" s="35"/>
      <x:c r="B20" s="6" t="str">
        <x:v>移行実行 別案 合計</x:v>
      </x:c>
      <x:c r="C20" s="23"/>
      <x:c r="D20" s="31" t="n">
        <x:f>D19</x:f>
        <x:v>40</x:v>
      </x:c>
      <x:c r="E20" s="31"/>
      <x:c r="F20" s="31" t="n">
        <x:f>F19</x:f>
        <x:v>3600000</x:v>
      </x:c>
      <x:c r="G20" s="23" t="str">
        <x:v>基本案と同時に採用した場合は上段の「両案合計」を参照。</x:v>
      </x:c>
    </x:row>
    <x:row r="21">
      <x:c r="A21" s="1"/>
      <x:c r="B21" s="1"/>
      <x:c r="C21" s="1"/>
      <x:c r="D21" s="1"/>
      <x:c r="E21" s="1"/>
      <x:c r="F21" s="1"/>
      <x:c r="G21" s="1"/>
    </x:row>
    <x:row r="22" ht="25.5" customHeight="1">
      <x:c r="A22" s="9" t="str">
        <x:v>見積りの共通前提</x:v>
      </x:c>
      <x:c r="B22" s="1"/>
      <x:c r="C22" s="1"/>
      <x:c r="D22" s="1"/>
      <x:c r="E22" s="1"/>
      <x:c r="F22" s="1"/>
      <x:c r="G22" s="1"/>
    </x:row>
    <x:row r="23" ht="21.75" customHeight="1">
      <x:c r="A23" s="1" t="str">
        <x:v>1　単価は説明用の仮設定で、実際の市場相場、契約金額、履行を保証するものではありません。</x:v>
      </x:c>
      <x:c r="B23" s="1"/>
      <x:c r="C23" s="1"/>
      <x:c r="D23" s="1"/>
      <x:c r="E23" s="1"/>
      <x:c r="F23" s="1"/>
      <x:c r="G23" s="1"/>
    </x:row>
    <x:row r="24" ht="21.75" customHeight="1">
      <x:c r="A24" s="1" t="str">
        <x:v>2　ライセンス料、法人情報サービス料、基盤利用料、連携先の内部改修、恒常的な本番運用は含みません。</x:v>
      </x:c>
      <x:c r="B24" s="1"/>
      <x:c r="C24" s="1"/>
      <x:c r="D24" s="1"/>
      <x:c r="E24" s="1"/>
      <x:c r="F24" s="1"/>
      <x:c r="G24" s="1"/>
    </x:row>
    <x:row r="25" ht="21.75" customHeight="1">
      <x:c r="A25" s="1" t="str">
        <x:v>3　RFPの未決事項や提供資料が見積前提と異なる場合、要件定義で影響を示し、工数・金額・日程を協議します。</x:v>
      </x:c>
      <x:c r="B25" s="1"/>
      <x:c r="C25" s="1"/>
      <x:c r="D25" s="1"/>
      <x:c r="E25" s="1"/>
      <x:c r="F25" s="1"/>
      <x:c r="G25" s="1"/>
    </x:row>
    <x:row r="26" ht="21.75" customHeight="1">
      <x:c r="A26" s="1" t="str">
        <x:v>4　見積有効期限の例：2026年8月14日。支払条件と税額は契約時に協議します。</x:v>
      </x:c>
      <x:c r="B26" s="1"/>
      <x:c r="C26" s="1"/>
      <x:c r="D26" s="1"/>
      <x:c r="E26" s="1"/>
      <x:c r="F26" s="1"/>
      <x:c r="G26" s="1"/>
    </x:row>
  </x:sheetData>
  <x:pageMargins left="0.7" right="0.7" top="0.75" bottom="0.75" header="0.3" footer="0.3"/>
  <x:tableParts count="1">
    <x:tablePart xmlns:r="http://schemas.openxmlformats.org/officeDocument/2006/relationships" r:id="R878a37f3252f4fc9"/>
  </x:tableParts>
</x:worksheet>
</file>