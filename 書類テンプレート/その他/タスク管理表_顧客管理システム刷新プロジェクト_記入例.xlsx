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64197834a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タスク管理" sheetId="1" r:id="R41a2cf11e44f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0%"/>
  </x:numFmts>
  <x:fonts count="9">
    <x:font>
      <x:sz val="11"/>
      <x:name val="Carlito"/>
    </x:font>
    <x:font>
      <x:sz val="10"/>
      <x:color rgb="FF1F1F1F"/>
      <x:name val="Arial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  <x:font>
      <x:b/>
      <x:sz val="11"/>
      <x:color rgb="FF1F1F1F"/>
      <x:name val="Arial"/>
    </x:font>
    <x:font>
      <x:sz val="9"/>
      <x:color rgb="FF5959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</x:fills>
  <x:borders count="7">
    <x:border/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bottom style="thin">
        <x:color rgb="FF5B9BD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FFFFFF"/>
      </x:right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bottom style="medium">
        <x:color rgb="FF1F4E78"/>
      </x:bottom>
    </x:border>
    <x:border>
      <x:left style="thin">
        <x:color rgb="FFFFFFFF"/>
      </x:left>
      <x:bottom style="medium">
        <x:color rgb="FF1F4E7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horizontal="center" vertical="center"/>
    </x:xf>
    <x:xf numFmtId="201" fontId="6" fillId="4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2291f721b4872" /><Relationship Type="http://schemas.openxmlformats.org/officeDocument/2006/relationships/theme" Target="/xl/theme/theme1.xml" Id="R469a2c5d7c864c45" /><Relationship Type="http://schemas.openxmlformats.org/officeDocument/2006/relationships/sharedStrings" Target="/xl/sharedStrings.xml" Id="R61881fc6061841f7" /><Relationship Type="http://schemas.openxmlformats.org/officeDocument/2006/relationships/worksheet" Target="/xl/worksheets/sheet1.xml" Id="R41a2cf11e44f4efe" /></Relationships>
</file>

<file path=xl/tables/table1.xml><?xml version="1.0" encoding="utf-8"?>
<x:table xmlns:x="http://schemas.openxmlformats.org/spreadsheetml/2006/main" id="1" name="TasksTable" displayName="TasksTable" ref="A9:L21" headerRowCount="1" totalsRowCount="0" totalsRowShown="0">
  <x:autoFilter ref="A9:L21"/>
  <x:tableColumns count="12">
    <x:tableColumn id="1" name="タスクID"/>
    <x:tableColumn id="2" name="区分"/>
    <x:tableColumn id="3" name="タスク名"/>
    <x:tableColumn id="4" name="担当"/>
    <x:tableColumn id="5" name="優先度"/>
    <x:tableColumn id="6" name="開始日"/>
    <x:tableColumn id="7" name="期限"/>
    <x:tableColumn id="8" name="状態"/>
    <x:tableColumn id="9" name="進捗率"/>
    <x:tableColumn id="10" name="関連番号"/>
    <x:tableColumn id="11" name="備考 次の対応"/>
    <x:tableColumn id="12" name="期限状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88d8950d4847e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6" hidden="0" customWidth="1"/>
    <x:col min="4" max="4" width="14" hidden="0" customWidth="1"/>
    <x:col min="5" max="5" width="9" hidden="0" customWidth="1"/>
    <x:col min="6" max="6" width="12" hidden="0" customWidth="1"/>
    <x:col min="7" max="7" width="12" hidden="0" customWidth="1"/>
    <x:col min="8" max="8" width="11" hidden="0" customWidth="1"/>
    <x:col min="9" max="9" width="10" hidden="0" customWidth="1"/>
    <x:col min="10" max="10" width="13" hidden="0" customWidth="1"/>
    <x:col min="11" max="11" width="35" hidden="0" customWidth="1"/>
    <x:col min="12" max="12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顧客管理システム刷新プロジェクト タスク管理表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4" t="str">
        <x:v>定例会議で決定した対応事項とプロジェクト作業を管理</x:v>
      </x:c>
      <x:c r="B3" s="2"/>
      <x:c r="C3" s="2"/>
      <x:c r="D3" s="2"/>
      <x:c r="E3" s="2"/>
      <x:c r="F3" s="2"/>
      <x:c r="G3" s="2"/>
      <x:c r="H3" s="2"/>
      <x:c r="I3" s="2"/>
      <x:c r="J3" s="2"/>
      <x:c r="K3" s="5" t="str">
        <x:v>基準日</x:v>
      </x:c>
      <x:c r="L3" s="10" t="n">
        <x:v>46283</x:v>
      </x:c>
    </x:row>
    <x:row r="4" ht="8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14" t="str">
        <x:v>全タスク</x:v>
      </x:c>
      <x:c r="B6" s="2"/>
      <x:c r="C6" s="14" t="str">
        <x:v>完了</x:v>
      </x:c>
      <x:c r="D6" s="2"/>
      <x:c r="E6" s="14" t="str">
        <x:v>進行中</x:v>
      </x:c>
      <x:c r="F6" s="2"/>
      <x:c r="G6" s="14" t="str">
        <x:v>期限超過</x:v>
      </x:c>
      <x:c r="H6" s="2"/>
      <x:c r="I6" s="14" t="str">
        <x:v>平均進捗率</x:v>
      </x:c>
      <x:c r="J6" s="2"/>
      <x:c r="K6" s="14" t="str">
        <x:v>未着手</x:v>
      </x:c>
      <x:c r="L6" s="2"/>
    </x:row>
    <x:row r="7" ht="28" customHeight="1">
      <x:c r="A7" s="18" t="n">
        <x:f>COUNTA(A10:A21)</x:f>
        <x:v>12</x:v>
      </x:c>
      <x:c r="B7" s="2"/>
      <x:c r="C7" s="18" t="n">
        <x:f>COUNTIFS(H10:H21,"完了")</x:f>
        <x:v>3</x:v>
      </x:c>
      <x:c r="D7" s="2"/>
      <x:c r="E7" s="18" t="n">
        <x:f>COUNTIFS(H10:H21,"進行中")</x:f>
        <x:v>5</x:v>
      </x:c>
      <x:c r="F7" s="2"/>
      <x:c r="G7" s="18" t="n">
        <x:f>COUNTIFS(L10:L21,"期限超過")</x:f>
        <x:v>1</x:v>
      </x:c>
      <x:c r="H7" s="2"/>
      <x:c r="I7" s="19" t="n">
        <x:f>AVERAGE(I10:I21)</x:f>
        <x:v>0.4583333333333333</x:v>
      </x:c>
      <x:c r="J7" s="2"/>
      <x:c r="K7" s="18" t="n">
        <x:f>COUNTIFS(H10:H21,"未着手")</x:f>
        <x:v>4</x:v>
      </x:c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2" customHeight="1">
      <x:c r="A9" s="26" t="str">
        <x:v>タスクID</x:v>
      </x:c>
      <x:c r="B9" s="27" t="str">
        <x:v>区分</x:v>
      </x:c>
      <x:c r="C9" s="27" t="str">
        <x:v>タスク名</x:v>
      </x:c>
      <x:c r="D9" s="27" t="str">
        <x:v>担当</x:v>
      </x:c>
      <x:c r="E9" s="27" t="str">
        <x:v>優先度</x:v>
      </x:c>
      <x:c r="F9" s="27" t="str">
        <x:v>開始日</x:v>
      </x:c>
      <x:c r="G9" s="27" t="str">
        <x:v>期限</x:v>
      </x:c>
      <x:c r="H9" s="27" t="str">
        <x:v>状態</x:v>
      </x:c>
      <x:c r="I9" s="27" t="str">
        <x:v>進捗率</x:v>
      </x:c>
      <x:c r="J9" s="27" t="str">
        <x:v>関連番号</x:v>
      </x:c>
      <x:c r="K9" s="27" t="str">
        <x:v>備考 次の対応</x:v>
      </x:c>
      <x:c r="L9" s="28" t="str">
        <x:v>期限状況</x:v>
      </x:c>
    </x:row>
    <x:row r="10" ht="42" customHeight="1">
      <x:c r="A10" s="30" t="str">
        <x:v>A-001</x:v>
      </x:c>
      <x:c r="B10" s="29" t="str">
        <x:v>障害対応</x:v>
      </x:c>
      <x:c r="C10" s="31" t="str">
        <x:v>外部認証エラーの原因と影響範囲を整理する</x:v>
      </x:c>
      <x:c r="D10" s="30" t="str">
        <x:v>佐藤 鈴木</x:v>
      </x:c>
      <x:c r="E10" s="30" t="str">
        <x:v>高</x:v>
      </x:c>
      <x:c r="F10" s="32" t="n">
        <x:v>46283</x:v>
      </x:c>
      <x:c r="G10" s="32" t="n">
        <x:v>46286</x:v>
      </x:c>
      <x:c r="H10" s="30" t="str">
        <x:v>進行中</x:v>
      </x:c>
      <x:c r="I10" s="33" t="n">
        <x:v>0.6</x:v>
      </x:c>
      <x:c r="J10" s="30" t="str">
        <x:v>D06-02</x:v>
      </x:c>
      <x:c r="K10" s="31" t="str">
        <x:v>接続ログを取得しタイムアウト箇所を切り分ける</x:v>
      </x:c>
      <x:c r="L10" s="30" t="str">
        <x:f>IF(H10="完了","",IF(G10&lt;$L$3,"期限超過",IF(G10=$L$3,"本日期限","")))</x:f>
      </x:c>
    </x:row>
    <x:row r="11" ht="42" customHeight="1">
      <x:c r="A11" s="30" t="str">
        <x:v>A-002</x:v>
      </x:c>
      <x:c r="B11" s="29" t="str">
        <x:v>テスト</x:v>
      </x:c>
      <x:c r="C11" s="31" t="str">
        <x:v>結合テスト用データの投入結果を確認する</x:v>
      </x:c>
      <x:c r="D11" s="30" t="str">
        <x:v>高橋</x:v>
      </x:c>
      <x:c r="E11" s="30" t="str">
        <x:v>高</x:v>
      </x:c>
      <x:c r="F11" s="32" t="n">
        <x:v>46283</x:v>
      </x:c>
      <x:c r="G11" s="32" t="n">
        <x:v>46287</x:v>
      </x:c>
      <x:c r="H11" s="30" t="str">
        <x:v>未着手</x:v>
      </x:c>
      <x:c r="I11" s="33" t="n">
        <x:v>0</x:v>
      </x:c>
      <x:c r="J11" s="30" t="str">
        <x:v>D06-01</x:v>
      </x:c>
      <x:c r="K11" s="31" t="str">
        <x:v>投入件数とエラー件数を開始判定会で報告する</x:v>
      </x:c>
      <x:c r="L11" s="30" t="str">
        <x:f>IF(H11="完了","",IF(G11&lt;$L$3,"期限超過",IF(G11=$L$3,"本日期限","")))</x:f>
      </x:c>
    </x:row>
    <x:row r="12" ht="42" customHeight="1">
      <x:c r="A12" s="30" t="str">
        <x:v>A-003</x:v>
      </x:c>
      <x:c r="B12" s="29" t="str">
        <x:v>データ移行</x:v>
      </x:c>
      <x:c r="C12" s="31" t="str">
        <x:v>移行リハーサル手順書を更新しレビューを依頼する</x:v>
      </x:c>
      <x:c r="D12" s="30" t="str">
        <x:v>伊藤</x:v>
      </x:c>
      <x:c r="E12" s="30" t="str">
        <x:v>中</x:v>
      </x:c>
      <x:c r="F12" s="32" t="n">
        <x:v>46283</x:v>
      </x:c>
      <x:c r="G12" s="32" t="n">
        <x:v>46290</x:v>
      </x:c>
      <x:c r="H12" s="30" t="str">
        <x:v>未着手</x:v>
      </x:c>
      <x:c r="I12" s="33" t="n">
        <x:v>0</x:v>
      </x:c>
      <x:c r="J12" s="30" t="str">
        <x:v>D06-03</x:v>
      </x:c>
      <x:c r="K12" s="31" t="str">
        <x:v>対象を顧客基本情報と契約情報に限定して更新する</x:v>
      </x:c>
      <x:c r="L12" s="30" t="str">
        <x:f>IF(H12="完了","",IF(G12&lt;$L$3,"期限超過",IF(G12=$L$3,"本日期限","")))</x:f>
      </x:c>
    </x:row>
    <x:row r="13" ht="42" customHeight="1">
      <x:c r="A13" s="30" t="str">
        <x:v>A-004</x:v>
      </x:c>
      <x:c r="B13" s="29" t="str">
        <x:v>会議準備</x:v>
      </x:c>
      <x:c r="C13" s="31" t="str">
        <x:v>結合テスト開始判定会の資料を作成する</x:v>
      </x:c>
      <x:c r="D13" s="30" t="str">
        <x:v>山田</x:v>
      </x:c>
      <x:c r="E13" s="30" t="str">
        <x:v>高</x:v>
      </x:c>
      <x:c r="F13" s="32" t="n">
        <x:v>46283</x:v>
      </x:c>
      <x:c r="G13" s="32" t="n">
        <x:v>46287</x:v>
      </x:c>
      <x:c r="H13" s="30" t="str">
        <x:v>進行中</x:v>
      </x:c>
      <x:c r="I13" s="33" t="n">
        <x:v>0.3</x:v>
      </x:c>
      <x:c r="J13" s="30" t="str">
        <x:v>D06-02</x:v>
      </x:c>
      <x:c r="K13" s="31" t="str">
        <x:v>単体テスト結果と未解決障害を資料へ反映する</x:v>
      </x:c>
      <x:c r="L13" s="30" t="str">
        <x:f>IF(H13="完了","",IF(G13&lt;$L$3,"期限超過",IF(G13=$L$3,"本日期限","")))</x:f>
      </x:c>
    </x:row>
    <x:row r="14" ht="42" customHeight="1">
      <x:c r="A14" s="30" t="str">
        <x:v>A-005</x:v>
      </x:c>
      <x:c r="B14" s="29" t="str">
        <x:v>テスト</x:v>
      </x:c>
      <x:c r="C14" s="31" t="str">
        <x:v>主要画面18機能の単体テスト結果を確認する</x:v>
      </x:c>
      <x:c r="D14" s="30" t="str">
        <x:v>高橋</x:v>
      </x:c>
      <x:c r="E14" s="30" t="str">
        <x:v>高</x:v>
      </x:c>
      <x:c r="F14" s="32" t="n">
        <x:v>46279</x:v>
      </x:c>
      <x:c r="G14" s="32" t="n">
        <x:v>46283</x:v>
      </x:c>
      <x:c r="H14" s="30" t="str">
        <x:v>完了</x:v>
      </x:c>
      <x:c r="I14" s="33" t="n">
        <x:v>1</x:v>
      </x:c>
      <x:c r="J14" s="30" t="str">
        <x:v>D06-01</x:v>
      </x:c>
      <x:c r="K14" s="31" t="str">
        <x:v>証跡格納先を開始判定会資料へ記載済み</x:v>
      </x:c>
      <x:c r="L14" s="30" t="str">
        <x:f>IF(H14="完了","",IF(G14&lt;$L$3,"期限超過",IF(G14=$L$3,"本日期限","")))</x:f>
      </x:c>
    </x:row>
    <x:row r="15" ht="42" customHeight="1">
      <x:c r="A15" s="30" t="str">
        <x:v>A-006</x:v>
      </x:c>
      <x:c r="B15" s="29" t="str">
        <x:v>API</x:v>
      </x:c>
      <x:c r="C15" s="31" t="str">
        <x:v>API24本の実装状況を一覧化する</x:v>
      </x:c>
      <x:c r="D15" s="30" t="str">
        <x:v>佐藤</x:v>
      </x:c>
      <x:c r="E15" s="30" t="str">
        <x:v>中</x:v>
      </x:c>
      <x:c r="F15" s="32" t="n">
        <x:v>46280</x:v>
      </x:c>
      <x:c r="G15" s="32" t="n">
        <x:v>46283</x:v>
      </x:c>
      <x:c r="H15" s="30" t="str">
        <x:v>完了</x:v>
      </x:c>
      <x:c r="I15" s="33" t="n">
        <x:v>1</x:v>
      </x:c>
      <x:c r="J15" s="30" t="str">
        <x:v>D06-01</x:v>
      </x:c>
      <x:c r="K15" s="31" t="str">
        <x:v>23本完了 1本は認証エラー対応中として記録済み</x:v>
      </x:c>
      <x:c r="L15" s="30" t="str">
        <x:f>IF(H15="完了","",IF(G15&lt;$L$3,"期限超過",IF(G15=$L$3,"本日期限","")))</x:f>
      </x:c>
    </x:row>
    <x:row r="16" ht="42" customHeight="1">
      <x:c r="A16" s="30" t="str">
        <x:v>A-007</x:v>
      </x:c>
      <x:c r="B16" s="29" t="str">
        <x:v>データ移行</x:v>
      </x:c>
      <x:c r="C16" s="31" t="str">
        <x:v>移行対象データの件数を確定する</x:v>
      </x:c>
      <x:c r="D16" s="30" t="str">
        <x:v>伊藤</x:v>
      </x:c>
      <x:c r="E16" s="30" t="str">
        <x:v>中</x:v>
      </x:c>
      <x:c r="F16" s="32" t="n">
        <x:v>46283</x:v>
      </x:c>
      <x:c r="G16" s="32" t="n">
        <x:v>46289</x:v>
      </x:c>
      <x:c r="H16" s="30" t="str">
        <x:v>進行中</x:v>
      </x:c>
      <x:c r="I16" s="33" t="n">
        <x:v>0.4</x:v>
      </x:c>
      <x:c r="J16" s="30" t="str">
        <x:v>D06-03</x:v>
      </x:c>
      <x:c r="K16" s="31" t="str">
        <x:v>顧客基本情報約12万件 契約情報約18万件を照合中</x:v>
      </x:c>
      <x:c r="L16" s="30" t="str">
        <x:f>IF(H16="完了","",IF(G16&lt;$L$3,"期限超過",IF(G16=$L$3,"本日期限","")))</x:f>
      </x:c>
    </x:row>
    <x:row r="17" ht="42" customHeight="1">
      <x:c r="A17" s="30" t="str">
        <x:v>A-008</x:v>
      </x:c>
      <x:c r="B17" s="29" t="str">
        <x:v>インフラ</x:v>
      </x:c>
      <x:c r="C17" s="31" t="str">
        <x:v>外部認証サービス接続時のログを採取する</x:v>
      </x:c>
      <x:c r="D17" s="30" t="str">
        <x:v>鈴木</x:v>
      </x:c>
      <x:c r="E17" s="30" t="str">
        <x:v>高</x:v>
      </x:c>
      <x:c r="F17" s="32" t="n">
        <x:v>46283</x:v>
      </x:c>
      <x:c r="G17" s="32" t="n">
        <x:v>46285</x:v>
      </x:c>
      <x:c r="H17" s="30" t="str">
        <x:v>進行中</x:v>
      </x:c>
      <x:c r="I17" s="33" t="n">
        <x:v>0.5</x:v>
      </x:c>
      <x:c r="J17" s="30" t="str">
        <x:v>R-001</x:v>
      </x:c>
      <x:c r="K17" s="31" t="str">
        <x:v>アプリ側とロードバランサー側のログ時刻を突合する</x:v>
      </x:c>
      <x:c r="L17" s="30" t="str">
        <x:f>IF(H17="完了","",IF(G17&lt;$L$3,"期限超過",IF(G17=$L$3,"本日期限","")))</x:f>
      </x:c>
    </x:row>
    <x:row r="18" ht="42" customHeight="1">
      <x:c r="A18" s="30" t="str">
        <x:v>A-009</x:v>
      </x:c>
      <x:c r="B18" s="29" t="str">
        <x:v>データ品質</x:v>
      </x:c>
      <x:c r="C18" s="31" t="str">
        <x:v>住所コード未設定レコードの対象件数を集計する</x:v>
      </x:c>
      <x:c r="D18" s="30" t="str">
        <x:v>伊藤</x:v>
      </x:c>
      <x:c r="E18" s="30" t="str">
        <x:v>高</x:v>
      </x:c>
      <x:c r="F18" s="32" t="n">
        <x:v>46279</x:v>
      </x:c>
      <x:c r="G18" s="32" t="n">
        <x:v>46282</x:v>
      </x:c>
      <x:c r="H18" s="30" t="str">
        <x:v>進行中</x:v>
      </x:c>
      <x:c r="I18" s="33" t="n">
        <x:v>0.7</x:v>
      </x:c>
      <x:c r="J18" s="30" t="str">
        <x:v>R-002</x:v>
      </x:c>
      <x:c r="K18" s="31" t="str">
        <x:v>補正ルール案を業務担当へ提示する</x:v>
      </x:c>
      <x:c r="L18" s="30" t="str">
        <x:f>IF(H18="完了","",IF(G18&lt;$L$3,"期限超過",IF(G18=$L$3,"本日期限","")))</x:f>
        <x:v>期限超過</x:v>
      </x:c>
    </x:row>
    <x:row r="19" ht="42" customHeight="1">
      <x:c r="A19" s="30" t="str">
        <x:v>A-010</x:v>
      </x:c>
      <x:c r="B19" s="29" t="str">
        <x:v>設計書</x:v>
      </x:c>
      <x:c r="C19" s="31" t="str">
        <x:v>外部認証APIのインターフェース仕様書を更新する</x:v>
      </x:c>
      <x:c r="D19" s="30" t="str">
        <x:v>佐藤</x:v>
      </x:c>
      <x:c r="E19" s="30" t="str">
        <x:v>中</x:v>
      </x:c>
      <x:c r="F19" s="32" t="n">
        <x:v>46277</x:v>
      </x:c>
      <x:c r="G19" s="32" t="n">
        <x:v>46282</x:v>
      </x:c>
      <x:c r="H19" s="30" t="str">
        <x:v>完了</x:v>
      </x:c>
      <x:c r="I19" s="33" t="n">
        <x:v>1</x:v>
      </x:c>
      <x:c r="J19" s="30" t="str">
        <x:v>A-001</x:v>
      </x:c>
      <x:c r="K19" s="31" t="str">
        <x:v>タイムアウト値とエラーコードを追記済み</x:v>
      </x:c>
      <x:c r="L19" s="30" t="str">
        <x:f>IF(H19="完了","",IF(G19&lt;$L$3,"期限超過",IF(G19=$L$3,"本日期限","")))</x:f>
      </x:c>
    </x:row>
    <x:row r="20" ht="42" customHeight="1">
      <x:c r="A20" s="30" t="str">
        <x:v>A-011</x:v>
      </x:c>
      <x:c r="B20" s="29" t="str">
        <x:v>環境準備</x:v>
      </x:c>
      <x:c r="C20" s="31" t="str">
        <x:v>結合テスト環境のバックアップを取得する</x:v>
      </x:c>
      <x:c r="D20" s="30" t="str">
        <x:v>鈴木</x:v>
      </x:c>
      <x:c r="E20" s="30" t="str">
        <x:v>中</x:v>
      </x:c>
      <x:c r="F20" s="32" t="n">
        <x:v>46287</x:v>
      </x:c>
      <x:c r="G20" s="32" t="n">
        <x:v>46288</x:v>
      </x:c>
      <x:c r="H20" s="30" t="str">
        <x:v>未着手</x:v>
      </x:c>
      <x:c r="I20" s="33" t="n">
        <x:v>0</x:v>
      </x:c>
      <x:c r="J20" s="30" t="str">
        <x:v>D06-01</x:v>
      </x:c>
      <x:c r="K20" s="31" t="str">
        <x:v>テストデータ投入完了後にスナップショットを取得する</x:v>
      </x:c>
      <x:c r="L20" s="30" t="str">
        <x:f>IF(H20="完了","",IF(G20&lt;$L$3,"期限超過",IF(G20=$L$3,"本日期限","")))</x:f>
      </x:c>
    </x:row>
    <x:row r="21" ht="42" customHeight="1">
      <x:c r="A21" s="30" t="str">
        <x:v>A-012</x:v>
      </x:c>
      <x:c r="B21" s="29" t="str">
        <x:v>会議準備</x:v>
      </x:c>
      <x:c r="C21" s="31" t="str">
        <x:v>次回定例会議の議題と資料リンクを共有する</x:v>
      </x:c>
      <x:c r="D21" s="30" t="str">
        <x:v>山田</x:v>
      </x:c>
      <x:c r="E21" s="30" t="str">
        <x:v>低</x:v>
      </x:c>
      <x:c r="F21" s="32" t="n">
        <x:v>46288</x:v>
      </x:c>
      <x:c r="G21" s="32" t="n">
        <x:v>46289</x:v>
      </x:c>
      <x:c r="H21" s="30" t="str">
        <x:v>未着手</x:v>
      </x:c>
      <x:c r="I21" s="33" t="n">
        <x:v>0</x:v>
      </x:c>
      <x:c r="J21" s="30" t="str">
        <x:v>第7回会議</x:v>
      </x:c>
      <x:c r="K21" s="31" t="str">
        <x:v>9月24日17時までに参加者へ共有する</x:v>
      </x:c>
      <x:c r="L21" s="30" t="str">
        <x:f>IF(H21="完了","",IF(G21&lt;$L$3,"期限超過",IF(G21=$L$3,"本日期限","")))</x:f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34" t="str">
        <x:v>運用ルール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18" customHeight="1">
      <x:c r="A25" s="36" t="str">
        <x:v>タスクIDはプロジェクト内の通番とし、次回会議でも同じ番号で追跡する。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18" customHeight="1">
      <x:c r="A26" s="36" t="str">
        <x:v>状態と優先度はプルダウンから選択する。完了時は進捗率を100%にする。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18" customHeight="1">
      <x:c r="A27" s="36" t="str">
        <x:v>基準日を変更すると、期限状況と期限超過件数が更新される。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</x:sheetData>
  <x:conditionalFormatting sqref="H10:H21">
    <x:cfRule type="containsText" dxfId="0" priority="1" operator="containsText" text="完了"/>
    <x:cfRule type="containsText" dxfId="1" priority="2" operator="containsText" text="進行中"/>
    <x:cfRule type="containsText" dxfId="2" priority="3" operator="containsText" text="未着手"/>
    <x:cfRule type="containsText" dxfId="3" priority="4" operator="containsText" text="保留"/>
  </x:conditionalFormatting>
  <x:conditionalFormatting sqref="E10:E21">
    <x:cfRule type="containsText" dxfId="4" priority="5" operator="containsText" text="高"/>
  </x:conditionalFormatting>
  <x:conditionalFormatting sqref="L10:L21">
    <x:cfRule type="containsText" dxfId="5" priority="6" operator="containsText" text="期限超過"/>
    <x:cfRule type="containsText" dxfId="6" priority="7" operator="containsText" text="本日期限"/>
  </x:conditionalFormatting>
  <x:conditionalFormatting sqref="I10:I21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{F97AE6C7-9013-95DE-FD03-0BEC782E272B}</x14:id>
        </x:ext>
      </x:extLst>
    </x:cfRule>
  </x:conditionalFormatting>
  <x:dataValidations count="2">
    <x:dataValidation type="list" sqref="E10:E21">
      <x:formula1>"高,中,低"</x:formula1>
    </x:dataValidation>
    <x:dataValidation type="list" sqref="H10:H21">
      <x:formula1>"未着手,進行中,完了,保留"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8d8950d4847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F97AE6C7-9013-95DE-FD03-0BEC782E272B}">
            <x14:dataBar gradient="1">
              <x14:cfvo type="min"/>
              <x14:cfvo type="max"/>
              <x14:fillColor rgb="FF5B9BD5"/>
            </x14:dataBar>
          </x14:cfRule>
          <xm:sqref>I10:I21</xm:sqref>
        </x14:conditionalFormatting>
      </x14:conditionalFormattings>
    </x:ext>
  </x:extLst>
</x:worksheet>
</file>