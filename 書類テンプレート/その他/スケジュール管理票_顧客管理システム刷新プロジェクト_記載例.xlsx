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4638cd0eb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スケジュール" sheetId="1" r:id="Rdbfdaa93cc0f43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m/d"/>
    <x:numFmt numFmtId="203" formatCode="0"/>
  </x:numFmts>
  <x:fonts count="10">
    <x:font>
      <x:sz val="11"/>
      <x:name val="Carlito"/>
    </x:font>
    <x:font>
      <x:sz val="10"/>
      <x:color rgb="FF243447"/>
      <x:name val="Arial"/>
    </x:font>
    <x:font>
      <x:b/>
      <x:sz val="16"/>
      <x:color rgb="FF172B4D"/>
      <x:name val="Arial"/>
    </x:font>
    <x:font>
      <x:b/>
      <x:sz val="10"/>
      <x:color rgb="FF172B4D"/>
      <x:name val="Arial"/>
    </x:font>
    <x:font>
      <x:sz val="8"/>
      <x:color rgb="FF243447"/>
      <x:name val="Arial"/>
    </x:font>
    <x:font>
      <x:b/>
      <x:sz val="10"/>
      <x:color rgb="FF17365D"/>
      <x:name val="Arial"/>
    </x:font>
    <x:font>
      <x:b/>
      <x:sz val="10"/>
      <x:color rgb="FF9C6500"/>
      <x:name val="Arial"/>
    </x:font>
    <x:font>
      <x:b/>
      <x:sz val="9"/>
      <x:color rgb="FF243447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7F5"/>
      </x:patternFill>
    </x:fill>
    <x:fill>
      <x:patternFill patternType="solid">
        <x:fgColor rgb="FFEE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A9D18E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B7C4D3"/>
      </x:left>
      <x:right style="thin">
        <x:color rgb="FFB7C4D3"/>
      </x:right>
      <x:top style="thin">
        <x:color rgb="FFB7C4D3"/>
      </x:top>
    </x:border>
    <x:border>
      <x:left style="thin">
        <x:color rgb="FFB7C4D3"/>
      </x:left>
      <x:right style="thin">
        <x:color rgb="FFB7C4D3"/>
      </x:right>
      <x:bottom style="thin">
        <x:color rgb="FFB7C4D3"/>
      </x:bottom>
    </x:border>
    <x:border>
      <x:left style="thin">
        <x:color rgb="FFD5DCE5"/>
      </x:left>
      <x:right style="thin">
        <x:color rgb="FFD5DCE5"/>
      </x:right>
      <x:top style="thin">
        <x:color rgb="FFD5DCE5"/>
      </x:top>
      <x:bottom style="thin">
        <x:color rgb="FFD5DCE5"/>
      </x:bottom>
    </x:border>
    <x:border>
      <x:left style="thin">
        <x:color rgb="FFAAB9C8"/>
      </x:left>
      <x:top style="thin">
        <x:color rgb="FFAAB9C8"/>
      </x:top>
      <x:bottom style="thin">
        <x:color rgb="FFAAB9C8"/>
      </x:bottom>
    </x:border>
    <x:border>
      <x:top style="thin">
        <x:color rgb="FFAAB9C8"/>
      </x:top>
      <x:bottom style="thin">
        <x:color rgb="FFAAB9C8"/>
      </x:bottom>
    </x:border>
    <x:border>
      <x:right style="thin">
        <x:color rgb="FFAAB9C8"/>
      </x:right>
      <x:top style="thin">
        <x:color rgb="FFAAB9C8"/>
      </x:top>
      <x:bottom style="thin">
        <x:color rgb="FFAAB9C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E1E6EC"/>
      </x:left>
      <x:right style="thin">
        <x:color rgb="FFE1E6EC"/>
      </x:right>
      <x:top style="thin">
        <x:color rgb="FFE1E6EC"/>
      </x:top>
      <x:bottom style="thin">
        <x:color rgb="FFE1E6EC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4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2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 applyAlignment="1">
      <x:alignment horizont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201" fontId="5" fillId="4" borderId="3" xfId="0" applyNumberFormat="1" applyFont="1" applyFill="1" applyBorder="1" applyAlignment="1">
      <x:alignment horizontal="center" vertical="center"/>
    </x:xf>
    <x:xf numFmtId="200" fontId="5" fillId="4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4" xfId="0" applyNumberFormat="1" applyFont="1" applyFill="1" applyBorder="1" applyAlignment="1">
      <x:alignment horizontal="center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9" borderId="4" xfId="0" applyNumberFormat="1" applyFont="1" applyFill="1" applyBorder="1" applyAlignment="1">
      <x:alignment horizontal="center" vertical="center"/>
    </x:xf>
    <x:xf numFmtId="0" fontId="7" fillId="10" borderId="4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2" borderId="0" xfId="0" applyNumberFormat="1" applyFont="1" applyFill="1" applyBorder="1"/>
    <x:xf numFmtId="0" fontId="8" fillId="2" borderId="0" xfId="0" applyNumberFormat="1" applyFont="1" applyFill="1" applyBorder="1"/>
    <x:xf numFmtId="202" fontId="8" fillId="2" borderId="0" xfId="0" applyNumberFormat="1" applyFont="1" applyFill="1" applyBorder="1"/>
    <x:xf numFmtId="0" fontId="8" fillId="2" borderId="8" xfId="0" applyNumberFormat="1" applyFont="1" applyFill="1" applyBorder="1"/>
    <x:xf numFmtId="202" fontId="8" fillId="2" borderId="8" xfId="0" applyNumberFormat="1" applyFont="1" applyFill="1" applyBorder="1"/>
    <x:xf numFmtId="0" fontId="8" fillId="2" borderId="8" xfId="0" applyNumberFormat="1" applyFont="1" applyFill="1" applyBorder="1" applyAlignment="1">
      <x:alignment wrapText="1"/>
    </x:xf>
    <x:xf numFmtId="202" fontId="8" fillId="2" borderId="8" xfId="0" applyNumberFormat="1" applyFont="1" applyFill="1" applyBorder="1" applyAlignment="1">
      <x:alignment wrapText="1"/>
    </x:xf>
    <x:xf numFmtId="0" fontId="8" fillId="2" borderId="8" xfId="0" applyNumberFormat="1" applyFont="1" applyFill="1" applyBorder="1" applyAlignment="1">
      <x:alignment horizontal="center" wrapText="1"/>
    </x:xf>
    <x:xf numFmtId="202" fontId="8" fillId="2" borderId="8" xfId="0" applyNumberFormat="1" applyFont="1" applyFill="1" applyBorder="1" applyAlignment="1">
      <x:alignment horizontal="center" wrapText="1"/>
    </x:xf>
    <x:xf numFmtId="0" fontId="8" fillId="2" borderId="8" xfId="0" applyNumberFormat="1" applyFont="1" applyFill="1" applyBorder="1" applyAlignment="1">
      <x:alignment horizontal="center" vertical="center" wrapText="1"/>
    </x:xf>
    <x:xf numFmtId="202" fontId="8" fillId="2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horizontal="center" vertical="center"/>
    </x:xf>
    <x:xf numFmtId="201" fontId="9" fillId="0" borderId="0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9"/>
      </x:font>
      <x:fill>
        <x:patternFill patternType="solid">
          <x:bgColor rgb="FFDDEBF7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D9EAF7"/>
      </x:font>
      <x:fill>
        <x:patternFill patternType="solid">
          <x:bgColor rgb="FFD9EAF7"/>
        </x:patternFill>
      </x:fill>
    </x:dxf>
    <x:dxf>
      <x:font>
        <x:color rgb="FFA9D18E"/>
      </x:font>
      <x:fill>
        <x:patternFill patternType="solid">
          <x:bgColor rgb="FFA9D18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49fdcfad94af9" /><Relationship Type="http://schemas.openxmlformats.org/officeDocument/2006/relationships/theme" Target="/xl/theme/theme1.xml" Id="R265142eed0c040b2" /><Relationship Type="http://schemas.openxmlformats.org/officeDocument/2006/relationships/sharedStrings" Target="/xl/sharedStrings.xml" Id="Ra5a785c6f96e4bd0" /><Relationship Type="http://schemas.openxmlformats.org/officeDocument/2006/relationships/worksheet" Target="/xl/worksheets/sheet1.xml" Id="Rdbfdaa93cc0f438c" /></Relationships>
</file>

<file path=xl/tables/table1.xml><?xml version="1.0" encoding="utf-8"?>
<x:table xmlns:x="http://schemas.openxmlformats.org/spreadsheetml/2006/main" id="1" name="ScheduleTasks" displayName="ScheduleTasks" ref="A11:O31" headerRowCount="1" totalsRowCount="0" totalsRowShown="0">
  <x:autoFilter ref="A11:O31"/>
  <x:tableColumns count="15">
    <x:tableColumn id="1" name="No"/>
    <x:tableColumn id="2" name="WBS"/>
    <x:tableColumn id="3" name="工程"/>
    <x:tableColumn id="4" name="作業名"/>
    <x:tableColumn id="5" name="成果物"/>
    <x:tableColumn id="6" name="担当"/>
    <x:tableColumn id="7" name="開始予定"/>
    <x:tableColumn id="8" name="終了予定"/>
    <x:tableColumn id="9" name="開始実績"/>
    <x:tableColumn id="10" name="終了実績"/>
    <x:tableColumn id="11" name="進捗率"/>
    <x:tableColumn id="12" name="判定"/>
    <x:tableColumn id="13" name="遅延日数"/>
    <x:tableColumn id="14" name="先行WBS"/>
    <x:tableColumn id="15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d7d1390d9434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6" ySplit="11" topLeftCell="G12" activePane="bottomRight" state="frozen"/>
    </x:sheetView>
  </x:sheetViews>
  <x:sheetFormatPr defaultRowHeight="15"/>
  <x:cols>
    <x:col min="1" max="1" width="6" hidden="0" customWidth="1"/>
    <x:col min="2" max="2" width="9" hidden="0" customWidth="1"/>
    <x:col min="3" max="3" width="13" hidden="0" customWidth="1"/>
    <x:col min="4" max="4" width="28" hidden="0" customWidth="1"/>
    <x:col min="5" max="5" width="24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10" hidden="0" customWidth="1"/>
    <x:col min="14" max="14" width="11" hidden="0" customWidth="1"/>
    <x:col min="15" max="15" width="30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</x:row>
    <x:row r="2" ht="26" customHeight="1">
      <x:c r="A2" s="2" t="str">
        <x:v>スケジュール管理票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</x:row>
    <x:row r="3" ht="3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</x:row>
    <x:row r="5" ht="22" customHeight="1">
      <x:c r="A5" s="7" t="str">
        <x:v>プロジェクト</x:v>
      </x:c>
      <x:c r="B5" s="9" t="str">
        <x:v>顧客管理システム刷新プロジェクト</x:v>
      </x:c>
      <x:c r="C5" s="1"/>
      <x:c r="D5" s="17" t="str">
        <x:v>総タスク</x:v>
      </x:c>
      <x:c r="E5" s="1"/>
      <x:c r="F5" s="17" t="str">
        <x:v>完了</x:v>
      </x:c>
      <x:c r="G5" s="1"/>
      <x:c r="H5" s="17" t="str">
        <x:v>進行中</x:v>
      </x:c>
      <x:c r="I5" s="1"/>
      <x:c r="J5" s="25" t="str">
        <x:v>遅延等</x:v>
      </x:c>
      <x:c r="K5" s="1"/>
      <x:c r="L5" s="17" t="str">
        <x:v>全体進捗</x:v>
      </x:c>
      <x:c r="M5" s="1"/>
      <x:c r="N5" s="17" t="str">
        <x:v>完了予定日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</x:row>
    <x:row r="6" ht="22" customHeight="1">
      <x:c r="A6" s="7" t="str">
        <x:v>基準日</x:v>
      </x:c>
      <x:c r="B6" s="10" t="n">
        <x:v>46284</x:v>
      </x:c>
      <x:c r="C6" s="1"/>
      <x:c r="D6" s="18" t="n">
        <x:f>COUNTA(A12:A31)</x:f>
        <x:v>20</x:v>
      </x:c>
      <x:c r="E6" s="1"/>
      <x:c r="F6" s="18" t="n">
        <x:f>COUNTIF(L12:L31,"完了")+COUNTIF(L12:L31,"完了（遅延）")</x:f>
        <x:v>4</x:v>
      </x:c>
      <x:c r="G6" s="1"/>
      <x:c r="H6" s="18" t="n">
        <x:f>COUNTIF(L12:L31,"進行中")+COUNTIF(L12:L31,"遅延")</x:f>
        <x:v>5</x:v>
      </x:c>
      <x:c r="I6" s="1"/>
      <x:c r="J6" s="26" t="n">
        <x:f>COUNTIF(L12:L31,"遅延")+COUNTIF(L12:L31,"着手遅れ")+COUNTIF(L12:L31,"完了（遅延）")</x:f>
        <x:v>2</x:v>
      </x:c>
      <x:c r="K6" s="1"/>
      <x:c r="L6" s="27" t="n">
        <x:f>AVERAGE(K12:K31)</x:f>
        <x:v>0.2924999999999999</x:v>
      </x:c>
      <x:c r="M6" s="1"/>
      <x:c r="N6" s="28" t="n">
        <x:f>MAX(H12:H31)</x:f>
        <x:v>46374</x:v>
      </x:c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</x:row>
    <x:row r="7" ht="22" customHeight="1">
      <x:c r="A7" s="7" t="str">
        <x:v>管理番号</x:v>
      </x:c>
      <x:c r="B7" s="8" t="str">
        <x:v>SCH-2026-001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</x:row>
    <x:row r="8" ht="22" customHeight="1">
      <x:c r="A8" s="7" t="str">
        <x:v>更新者</x:v>
      </x:c>
      <x:c r="B8" s="8" t="str">
        <x:v>高橋</x:v>
      </x:c>
      <x:c r="C8" s="1"/>
      <x:c r="D8" s="32" t="str">
        <x:v>凡例</x:v>
      </x:c>
      <x:c r="E8" s="33" t="str">
        <x:v>計画</x:v>
      </x:c>
      <x:c r="F8" s="34" t="str">
        <x:v>実績</x:v>
      </x:c>
      <x:c r="G8" s="35" t="str">
        <x:v>完了</x:v>
      </x:c>
      <x:c r="H8" s="36" t="str">
        <x:v>進行中</x:v>
      </x:c>
      <x:c r="I8" s="37" t="str">
        <x:v>遅延・要対応</x:v>
      </x:c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</x:row>
    <x:row r="10" ht="22" customHeight="1">
      <x:c r="A10" s="39" t="str">
        <x:v>タスク明細</x:v>
      </x:c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1"/>
      <x:c r="P10" s="39" t="str">
        <x:v>週次ガント（計画／実績）</x:v>
      </x:c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  <x:c r="AA10" s="40"/>
      <x:c r="AB10" s="40"/>
      <x:c r="AC10" s="40"/>
      <x:c r="AD10" s="40"/>
      <x:c r="AE10" s="41"/>
    </x:row>
    <x:row r="11" ht="34" customHeight="1">
      <x:c r="A11" s="52" t="str">
        <x:v>No</x:v>
      </x:c>
      <x:c r="B11" s="52" t="str">
        <x:v>WBS</x:v>
      </x:c>
      <x:c r="C11" s="52" t="str">
        <x:v>工程</x:v>
      </x:c>
      <x:c r="D11" s="52" t="str">
        <x:v>作業名</x:v>
      </x:c>
      <x:c r="E11" s="52" t="str">
        <x:v>成果物</x:v>
      </x:c>
      <x:c r="F11" s="52" t="str">
        <x:v>担当</x:v>
      </x:c>
      <x:c r="G11" s="52" t="str">
        <x:v>開始予定</x:v>
      </x:c>
      <x:c r="H11" s="52" t="str">
        <x:v>終了予定</x:v>
      </x:c>
      <x:c r="I11" s="52" t="str">
        <x:v>開始実績</x:v>
      </x:c>
      <x:c r="J11" s="52" t="str">
        <x:v>終了実績</x:v>
      </x:c>
      <x:c r="K11" s="52" t="str">
        <x:v>進捗率</x:v>
      </x:c>
      <x:c r="L11" s="52" t="str">
        <x:v>判定</x:v>
      </x:c>
      <x:c r="M11" s="52" t="str">
        <x:v>遅延日数</x:v>
      </x:c>
      <x:c r="N11" s="52" t="str">
        <x:v>先行WBS</x:v>
      </x:c>
      <x:c r="O11" s="52" t="str">
        <x:v>備考</x:v>
      </x:c>
      <x:c r="P11" s="53" t="n">
        <x:v>46265</x:v>
      </x:c>
      <x:c r="Q11" s="53" t="n">
        <x:v>46272</x:v>
      </x:c>
      <x:c r="R11" s="53" t="n">
        <x:v>46279</x:v>
      </x:c>
      <x:c r="S11" s="53" t="n">
        <x:v>46286</x:v>
      </x:c>
      <x:c r="T11" s="53" t="n">
        <x:v>46293</x:v>
      </x:c>
      <x:c r="U11" s="53" t="n">
        <x:v>46300</x:v>
      </x:c>
      <x:c r="V11" s="53" t="n">
        <x:v>46307</x:v>
      </x:c>
      <x:c r="W11" s="53" t="n">
        <x:v>46314</x:v>
      </x:c>
      <x:c r="X11" s="53" t="n">
        <x:v>46321</x:v>
      </x:c>
      <x:c r="Y11" s="53" t="n">
        <x:v>46328</x:v>
      </x:c>
      <x:c r="Z11" s="53" t="n">
        <x:v>46335</x:v>
      </x:c>
      <x:c r="AA11" s="53" t="n">
        <x:v>46342</x:v>
      </x:c>
      <x:c r="AB11" s="53" t="n">
        <x:v>46349</x:v>
      </x:c>
      <x:c r="AC11" s="53" t="n">
        <x:v>46356</x:v>
      </x:c>
      <x:c r="AD11" s="53" t="n">
        <x:v>46363</x:v>
      </x:c>
      <x:c r="AE11" s="53" t="n">
        <x:v>46370</x:v>
      </x:c>
    </x:row>
    <x:row r="12" ht="34" customHeight="1">
      <x:c r="A12" s="56" t="n">
        <x:v>1</x:v>
      </x:c>
      <x:c r="B12" s="56" t="str">
        <x:v>1.1</x:v>
      </x:c>
      <x:c r="C12" s="57" t="str">
        <x:v>立上げ</x:v>
      </x:c>
      <x:c r="D12" s="55" t="str">
        <x:v>プロジェクトキックオフ</x:v>
      </x:c>
      <x:c r="E12" s="55" t="str">
        <x:v>議事録</x:v>
      </x:c>
      <x:c r="F12" s="62" t="str">
        <x:v>高橋</x:v>
      </x:c>
      <x:c r="G12" s="63" t="n">
        <x:v>46266</x:v>
      </x:c>
      <x:c r="H12" s="63" t="n">
        <x:v>46266</x:v>
      </x:c>
      <x:c r="I12" s="63" t="n">
        <x:v>46266</x:v>
      </x:c>
      <x:c r="J12" s="63" t="n">
        <x:v>46266</x:v>
      </x:c>
      <x:c r="K12" s="64" t="n">
        <x:v>1</x:v>
      </x:c>
      <x:c r="L12" s="56" t="str">
        <x:f>IF(K12=1,IF(J12&gt;H12,"完了（遅延）","完了"),IF(I12="",IF($B$6&gt;G12,"着手遅れ","未着手"),IF($B$6&gt;H12,"遅延","進行中")))</x:f>
        <x:v>完了</x:v>
      </x:c>
      <x:c r="M12" s="61" t="n">
        <x:f>IF(K12=1,MAX(0,J12-H12),IF($B$6&gt;H12,$B$6-H12,0))</x:f>
        <x:v>0</x:v>
      </x:c>
      <x:c r="N12" s="54" t="str">
        <x:v>-</x:v>
      </x:c>
      <x:c r="O12" s="55" t="str">
        <x:v>体制・連絡経路・承認手順を確認</x:v>
      </x:c>
      <x:c r="P12" s="65" t="str">
        <x:f>IF(AND($I12&lt;&gt;"",P$11&lt;=IF($J12&lt;&gt;"",$J12,$B$6),P$11+6&gt;=$I12),"実",IF(AND(P$11&lt;=$H12,P$11+6&gt;=$G12),"予",""))</x:f>
        <x:v>実</x:v>
      </x:c>
      <x:c r="Q12" s="65" t="str">
        <x:f>IF(AND($I12&lt;&gt;"",Q$11&lt;=IF($J12&lt;&gt;"",$J12,$B$6),Q$11+6&gt;=$I12),"実",IF(AND(Q$11&lt;=$H12,Q$11+6&gt;=$G12),"予",""))</x:f>
      </x:c>
      <x:c r="R12" s="65" t="str">
        <x:f>IF(AND($I12&lt;&gt;"",R$11&lt;=IF($J12&lt;&gt;"",$J12,$B$6),R$11+6&gt;=$I12),"実",IF(AND(R$11&lt;=$H12,R$11+6&gt;=$G12),"予",""))</x:f>
      </x:c>
      <x:c r="S12" s="65" t="str">
        <x:f>IF(AND($I12&lt;&gt;"",S$11&lt;=IF($J12&lt;&gt;"",$J12,$B$6),S$11+6&gt;=$I12),"実",IF(AND(S$11&lt;=$H12,S$11+6&gt;=$G12),"予",""))</x:f>
      </x:c>
      <x:c r="T12" s="65" t="str">
        <x:f>IF(AND($I12&lt;&gt;"",T$11&lt;=IF($J12&lt;&gt;"",$J12,$B$6),T$11+6&gt;=$I12),"実",IF(AND(T$11&lt;=$H12,T$11+6&gt;=$G12),"予",""))</x:f>
      </x:c>
      <x:c r="U12" s="65" t="str">
        <x:f>IF(AND($I12&lt;&gt;"",U$11&lt;=IF($J12&lt;&gt;"",$J12,$B$6),U$11+6&gt;=$I12),"実",IF(AND(U$11&lt;=$H12,U$11+6&gt;=$G12),"予",""))</x:f>
      </x:c>
      <x:c r="V12" s="65" t="str">
        <x:f>IF(AND($I12&lt;&gt;"",V$11&lt;=IF($J12&lt;&gt;"",$J12,$B$6),V$11+6&gt;=$I12),"実",IF(AND(V$11&lt;=$H12,V$11+6&gt;=$G12),"予",""))</x:f>
      </x:c>
      <x:c r="W12" s="65" t="str">
        <x:f>IF(AND($I12&lt;&gt;"",W$11&lt;=IF($J12&lt;&gt;"",$J12,$B$6),W$11+6&gt;=$I12),"実",IF(AND(W$11&lt;=$H12,W$11+6&gt;=$G12),"予",""))</x:f>
      </x:c>
      <x:c r="X12" s="65" t="str">
        <x:f>IF(AND($I12&lt;&gt;"",X$11&lt;=IF($J12&lt;&gt;"",$J12,$B$6),X$11+6&gt;=$I12),"実",IF(AND(X$11&lt;=$H12,X$11+6&gt;=$G12),"予",""))</x:f>
      </x:c>
      <x:c r="Y12" s="65" t="str">
        <x:f>IF(AND($I12&lt;&gt;"",Y$11&lt;=IF($J12&lt;&gt;"",$J12,$B$6),Y$11+6&gt;=$I12),"実",IF(AND(Y$11&lt;=$H12,Y$11+6&gt;=$G12),"予",""))</x:f>
      </x:c>
      <x:c r="Z12" s="65" t="str">
        <x:f>IF(AND($I12&lt;&gt;"",Z$11&lt;=IF($J12&lt;&gt;"",$J12,$B$6),Z$11+6&gt;=$I12),"実",IF(AND(Z$11&lt;=$H12,Z$11+6&gt;=$G12),"予",""))</x:f>
      </x:c>
      <x:c r="AA12" s="65" t="str">
        <x:f>IF(AND($I12&lt;&gt;"",AA$11&lt;=IF($J12&lt;&gt;"",$J12,$B$6),AA$11+6&gt;=$I12),"実",IF(AND(AA$11&lt;=$H12,AA$11+6&gt;=$G12),"予",""))</x:f>
      </x:c>
      <x:c r="AB12" s="65" t="str">
        <x:f>IF(AND($I12&lt;&gt;"",AB$11&lt;=IF($J12&lt;&gt;"",$J12,$B$6),AB$11+6&gt;=$I12),"実",IF(AND(AB$11&lt;=$H12,AB$11+6&gt;=$G12),"予",""))</x:f>
      </x:c>
      <x:c r="AC12" s="65" t="str">
        <x:f>IF(AND($I12&lt;&gt;"",AC$11&lt;=IF($J12&lt;&gt;"",$J12,$B$6),AC$11+6&gt;=$I12),"実",IF(AND(AC$11&lt;=$H12,AC$11+6&gt;=$G12),"予",""))</x:f>
      </x:c>
      <x:c r="AD12" s="65" t="str">
        <x:f>IF(AND($I12&lt;&gt;"",AD$11&lt;=IF($J12&lt;&gt;"",$J12,$B$6),AD$11+6&gt;=$I12),"実",IF(AND(AD$11&lt;=$H12,AD$11+6&gt;=$G12),"予",""))</x:f>
      </x:c>
      <x:c r="AE12" s="65" t="str">
        <x:f>IF(AND($I12&lt;&gt;"",AE$11&lt;=IF($J12&lt;&gt;"",$J12,$B$6),AE$11+6&gt;=$I12),"実",IF(AND(AE$11&lt;=$H12,AE$11+6&gt;=$G12),"予",""))</x:f>
      </x:c>
    </x:row>
    <x:row r="13" ht="34" customHeight="1">
      <x:c r="A13" s="56" t="n">
        <x:v>2</x:v>
      </x:c>
      <x:c r="B13" s="56" t="str">
        <x:v>1.2</x:v>
      </x:c>
      <x:c r="C13" s="57" t="str">
        <x:v>要件定義</x:v>
      </x:c>
      <x:c r="D13" s="55" t="str">
        <x:v>業務ヒアリング</x:v>
      </x:c>
      <x:c r="E13" s="55" t="str">
        <x:v>ヒアリング記録</x:v>
      </x:c>
      <x:c r="F13" s="62" t="str">
        <x:v>佐藤</x:v>
      </x:c>
      <x:c r="G13" s="63" t="n">
        <x:v>46266</x:v>
      </x:c>
      <x:c r="H13" s="63" t="n">
        <x:v>46269</x:v>
      </x:c>
      <x:c r="I13" s="63" t="n">
        <x:v>46266</x:v>
      </x:c>
      <x:c r="J13" s="63" t="n">
        <x:v>46269</x:v>
      </x:c>
      <x:c r="K13" s="64" t="n">
        <x:v>1</x:v>
      </x:c>
      <x:c r="L13" s="56" t="str">
        <x:f>IF(K13=1,IF(J13&gt;H13,"完了（遅延）","完了"),IF(I13="",IF($B$6&gt;G13,"着手遅れ","未着手"),IF($B$6&gt;H13,"遅延","進行中")))</x:f>
        <x:v>完了</x:v>
      </x:c>
      <x:c r="M13" s="61" t="n">
        <x:f>IF(K13=1,MAX(0,J13-H13),IF($B$6&gt;H13,$B$6-H13,0))</x:f>
        <x:v>0</x:v>
      </x:c>
      <x:c r="N13" s="54" t="str">
        <x:v>1.1</x:v>
      </x:c>
      <x:c r="O13" s="55" t="str">
        <x:v>営業・サポート部門を対象に実施</x:v>
      </x:c>
      <x:c r="P13" s="65" t="str">
        <x:f>IF(AND($I13&lt;&gt;"",P$11&lt;=IF($J13&lt;&gt;"",$J13,$B$6),P$11+6&gt;=$I13),"実",IF(AND(P$11&lt;=$H13,P$11+6&gt;=$G13),"予",""))</x:f>
        <x:v>実</x:v>
      </x:c>
      <x:c r="Q13" s="65" t="str">
        <x:f>IF(AND($I13&lt;&gt;"",Q$11&lt;=IF($J13&lt;&gt;"",$J13,$B$6),Q$11+6&gt;=$I13),"実",IF(AND(Q$11&lt;=$H13,Q$11+6&gt;=$G13),"予",""))</x:f>
      </x:c>
      <x:c r="R13" s="65" t="str">
        <x:f>IF(AND($I13&lt;&gt;"",R$11&lt;=IF($J13&lt;&gt;"",$J13,$B$6),R$11+6&gt;=$I13),"実",IF(AND(R$11&lt;=$H13,R$11+6&gt;=$G13),"予",""))</x:f>
      </x:c>
      <x:c r="S13" s="65" t="str">
        <x:f>IF(AND($I13&lt;&gt;"",S$11&lt;=IF($J13&lt;&gt;"",$J13,$B$6),S$11+6&gt;=$I13),"実",IF(AND(S$11&lt;=$H13,S$11+6&gt;=$G13),"予",""))</x:f>
      </x:c>
      <x:c r="T13" s="65" t="str">
        <x:f>IF(AND($I13&lt;&gt;"",T$11&lt;=IF($J13&lt;&gt;"",$J13,$B$6),T$11+6&gt;=$I13),"実",IF(AND(T$11&lt;=$H13,T$11+6&gt;=$G13),"予",""))</x:f>
      </x:c>
      <x:c r="U13" s="65" t="str">
        <x:f>IF(AND($I13&lt;&gt;"",U$11&lt;=IF($J13&lt;&gt;"",$J13,$B$6),U$11+6&gt;=$I13),"実",IF(AND(U$11&lt;=$H13,U$11+6&gt;=$G13),"予",""))</x:f>
      </x:c>
      <x:c r="V13" s="65" t="str">
        <x:f>IF(AND($I13&lt;&gt;"",V$11&lt;=IF($J13&lt;&gt;"",$J13,$B$6),V$11+6&gt;=$I13),"実",IF(AND(V$11&lt;=$H13,V$11+6&gt;=$G13),"予",""))</x:f>
      </x:c>
      <x:c r="W13" s="65" t="str">
        <x:f>IF(AND($I13&lt;&gt;"",W$11&lt;=IF($J13&lt;&gt;"",$J13,$B$6),W$11+6&gt;=$I13),"実",IF(AND(W$11&lt;=$H13,W$11+6&gt;=$G13),"予",""))</x:f>
      </x:c>
      <x:c r="X13" s="65" t="str">
        <x:f>IF(AND($I13&lt;&gt;"",X$11&lt;=IF($J13&lt;&gt;"",$J13,$B$6),X$11+6&gt;=$I13),"実",IF(AND(X$11&lt;=$H13,X$11+6&gt;=$G13),"予",""))</x:f>
      </x:c>
      <x:c r="Y13" s="65" t="str">
        <x:f>IF(AND($I13&lt;&gt;"",Y$11&lt;=IF($J13&lt;&gt;"",$J13,$B$6),Y$11+6&gt;=$I13),"実",IF(AND(Y$11&lt;=$H13,Y$11+6&gt;=$G13),"予",""))</x:f>
      </x:c>
      <x:c r="Z13" s="65" t="str">
        <x:f>IF(AND($I13&lt;&gt;"",Z$11&lt;=IF($J13&lt;&gt;"",$J13,$B$6),Z$11+6&gt;=$I13),"実",IF(AND(Z$11&lt;=$H13,Z$11+6&gt;=$G13),"予",""))</x:f>
      </x:c>
      <x:c r="AA13" s="65" t="str">
        <x:f>IF(AND($I13&lt;&gt;"",AA$11&lt;=IF($J13&lt;&gt;"",$J13,$B$6),AA$11+6&gt;=$I13),"実",IF(AND(AA$11&lt;=$H13,AA$11+6&gt;=$G13),"予",""))</x:f>
      </x:c>
      <x:c r="AB13" s="65" t="str">
        <x:f>IF(AND($I13&lt;&gt;"",AB$11&lt;=IF($J13&lt;&gt;"",$J13,$B$6),AB$11+6&gt;=$I13),"実",IF(AND(AB$11&lt;=$H13,AB$11+6&gt;=$G13),"予",""))</x:f>
      </x:c>
      <x:c r="AC13" s="65" t="str">
        <x:f>IF(AND($I13&lt;&gt;"",AC$11&lt;=IF($J13&lt;&gt;"",$J13,$B$6),AC$11+6&gt;=$I13),"実",IF(AND(AC$11&lt;=$H13,AC$11+6&gt;=$G13),"予",""))</x:f>
      </x:c>
      <x:c r="AD13" s="65" t="str">
        <x:f>IF(AND($I13&lt;&gt;"",AD$11&lt;=IF($J13&lt;&gt;"",$J13,$B$6),AD$11+6&gt;=$I13),"実",IF(AND(AD$11&lt;=$H13,AD$11+6&gt;=$G13),"予",""))</x:f>
      </x:c>
      <x:c r="AE13" s="65" t="str">
        <x:f>IF(AND($I13&lt;&gt;"",AE$11&lt;=IF($J13&lt;&gt;"",$J13,$B$6),AE$11+6&gt;=$I13),"実",IF(AND(AE$11&lt;=$H13,AE$11+6&gt;=$G13),"予",""))</x:f>
      </x:c>
    </x:row>
    <x:row r="14" ht="34" customHeight="1">
      <x:c r="A14" s="56" t="n">
        <x:v>3</x:v>
      </x:c>
      <x:c r="B14" s="56" t="str">
        <x:v>1.3</x:v>
      </x:c>
      <x:c r="C14" s="57" t="str">
        <x:v>要件定義</x:v>
      </x:c>
      <x:c r="D14" s="55" t="str">
        <x:v>要件定義書作成</x:v>
      </x:c>
      <x:c r="E14" s="55" t="str">
        <x:v>要件定義書</x:v>
      </x:c>
      <x:c r="F14" s="62" t="str">
        <x:v>佐藤</x:v>
      </x:c>
      <x:c r="G14" s="63" t="n">
        <x:v>46267</x:v>
      </x:c>
      <x:c r="H14" s="63" t="n">
        <x:v>46276</x:v>
      </x:c>
      <x:c r="I14" s="63" t="n">
        <x:v>46267</x:v>
      </x:c>
      <x:c r="J14" s="63" t="n">
        <x:v>46276</x:v>
      </x:c>
      <x:c r="K14" s="64" t="n">
        <x:v>1</x:v>
      </x:c>
      <x:c r="L14" s="56" t="str">
        <x:f>IF(K14=1,IF(J14&gt;H14,"完了（遅延）","完了"),IF(I14="",IF($B$6&gt;G14,"着手遅れ","未着手"),IF($B$6&gt;H14,"遅延","進行中")))</x:f>
        <x:v>完了</x:v>
      </x:c>
      <x:c r="M14" s="61" t="n">
        <x:f>IF(K14=1,MAX(0,J14-H14),IF($B$6&gt;H14,$B$6-H14,0))</x:f>
        <x:v>0</x:v>
      </x:c>
      <x:c r="N14" s="54" t="str">
        <x:v>1.2</x:v>
      </x:c>
      <x:c r="O14" s="55" t="str">
        <x:v>機能要件・非機能要件を記載</x:v>
      </x:c>
      <x:c r="P14" s="65" t="str">
        <x:f>IF(AND($I14&lt;&gt;"",P$11&lt;=IF($J14&lt;&gt;"",$J14,$B$6),P$11+6&gt;=$I14),"実",IF(AND(P$11&lt;=$H14,P$11+6&gt;=$G14),"予",""))</x:f>
        <x:v>実</x:v>
      </x:c>
      <x:c r="Q14" s="65" t="str">
        <x:f>IF(AND($I14&lt;&gt;"",Q$11&lt;=IF($J14&lt;&gt;"",$J14,$B$6),Q$11+6&gt;=$I14),"実",IF(AND(Q$11&lt;=$H14,Q$11+6&gt;=$G14),"予",""))</x:f>
        <x:v>実</x:v>
      </x:c>
      <x:c r="R14" s="65" t="str">
        <x:f>IF(AND($I14&lt;&gt;"",R$11&lt;=IF($J14&lt;&gt;"",$J14,$B$6),R$11+6&gt;=$I14),"実",IF(AND(R$11&lt;=$H14,R$11+6&gt;=$G14),"予",""))</x:f>
      </x:c>
      <x:c r="S14" s="65" t="str">
        <x:f>IF(AND($I14&lt;&gt;"",S$11&lt;=IF($J14&lt;&gt;"",$J14,$B$6),S$11+6&gt;=$I14),"実",IF(AND(S$11&lt;=$H14,S$11+6&gt;=$G14),"予",""))</x:f>
      </x:c>
      <x:c r="T14" s="65" t="str">
        <x:f>IF(AND($I14&lt;&gt;"",T$11&lt;=IF($J14&lt;&gt;"",$J14,$B$6),T$11+6&gt;=$I14),"実",IF(AND(T$11&lt;=$H14,T$11+6&gt;=$G14),"予",""))</x:f>
      </x:c>
      <x:c r="U14" s="65" t="str">
        <x:f>IF(AND($I14&lt;&gt;"",U$11&lt;=IF($J14&lt;&gt;"",$J14,$B$6),U$11+6&gt;=$I14),"実",IF(AND(U$11&lt;=$H14,U$11+6&gt;=$G14),"予",""))</x:f>
      </x:c>
      <x:c r="V14" s="65" t="str">
        <x:f>IF(AND($I14&lt;&gt;"",V$11&lt;=IF($J14&lt;&gt;"",$J14,$B$6),V$11+6&gt;=$I14),"実",IF(AND(V$11&lt;=$H14,V$11+6&gt;=$G14),"予",""))</x:f>
      </x:c>
      <x:c r="W14" s="65" t="str">
        <x:f>IF(AND($I14&lt;&gt;"",W$11&lt;=IF($J14&lt;&gt;"",$J14,$B$6),W$11+6&gt;=$I14),"実",IF(AND(W$11&lt;=$H14,W$11+6&gt;=$G14),"予",""))</x:f>
      </x:c>
      <x:c r="X14" s="65" t="str">
        <x:f>IF(AND($I14&lt;&gt;"",X$11&lt;=IF($J14&lt;&gt;"",$J14,$B$6),X$11+6&gt;=$I14),"実",IF(AND(X$11&lt;=$H14,X$11+6&gt;=$G14),"予",""))</x:f>
      </x:c>
      <x:c r="Y14" s="65" t="str">
        <x:f>IF(AND($I14&lt;&gt;"",Y$11&lt;=IF($J14&lt;&gt;"",$J14,$B$6),Y$11+6&gt;=$I14),"実",IF(AND(Y$11&lt;=$H14,Y$11+6&gt;=$G14),"予",""))</x:f>
      </x:c>
      <x:c r="Z14" s="65" t="str">
        <x:f>IF(AND($I14&lt;&gt;"",Z$11&lt;=IF($J14&lt;&gt;"",$J14,$B$6),Z$11+6&gt;=$I14),"実",IF(AND(Z$11&lt;=$H14,Z$11+6&gt;=$G14),"予",""))</x:f>
      </x:c>
      <x:c r="AA14" s="65" t="str">
        <x:f>IF(AND($I14&lt;&gt;"",AA$11&lt;=IF($J14&lt;&gt;"",$J14,$B$6),AA$11+6&gt;=$I14),"実",IF(AND(AA$11&lt;=$H14,AA$11+6&gt;=$G14),"予",""))</x:f>
      </x:c>
      <x:c r="AB14" s="65" t="str">
        <x:f>IF(AND($I14&lt;&gt;"",AB$11&lt;=IF($J14&lt;&gt;"",$J14,$B$6),AB$11+6&gt;=$I14),"実",IF(AND(AB$11&lt;=$H14,AB$11+6&gt;=$G14),"予",""))</x:f>
      </x:c>
      <x:c r="AC14" s="65" t="str">
        <x:f>IF(AND($I14&lt;&gt;"",AC$11&lt;=IF($J14&lt;&gt;"",$J14,$B$6),AC$11+6&gt;=$I14),"実",IF(AND(AC$11&lt;=$H14,AC$11+6&gt;=$G14),"予",""))</x:f>
      </x:c>
      <x:c r="AD14" s="65" t="str">
        <x:f>IF(AND($I14&lt;&gt;"",AD$11&lt;=IF($J14&lt;&gt;"",$J14,$B$6),AD$11+6&gt;=$I14),"実",IF(AND(AD$11&lt;=$H14,AD$11+6&gt;=$G14),"予",""))</x:f>
      </x:c>
      <x:c r="AE14" s="65" t="str">
        <x:f>IF(AND($I14&lt;&gt;"",AE$11&lt;=IF($J14&lt;&gt;"",$J14,$B$6),AE$11+6&gt;=$I14),"実",IF(AND(AE$11&lt;=$H14,AE$11+6&gt;=$G14),"予",""))</x:f>
      </x:c>
    </x:row>
    <x:row r="15" ht="34" customHeight="1">
      <x:c r="A15" s="56" t="n">
        <x:v>4</x:v>
      </x:c>
      <x:c r="B15" s="56" t="str">
        <x:v>1.4</x:v>
      </x:c>
      <x:c r="C15" s="57" t="str">
        <x:v>要件定義</x:v>
      </x:c>
      <x:c r="D15" s="55" t="str">
        <x:v>要件レビュー</x:v>
      </x:c>
      <x:c r="E15" s="55" t="str">
        <x:v>レビュー記録</x:v>
      </x:c>
      <x:c r="F15" s="62" t="str">
        <x:v>山田</x:v>
      </x:c>
      <x:c r="G15" s="63" t="n">
        <x:v>46279</x:v>
      </x:c>
      <x:c r="H15" s="63" t="n">
        <x:v>46280</x:v>
      </x:c>
      <x:c r="I15" s="63" t="n">
        <x:v>46279</x:v>
      </x:c>
      <x:c r="J15" s="63" t="n">
        <x:v>46280</x:v>
      </x:c>
      <x:c r="K15" s="64" t="n">
        <x:v>1</x:v>
      </x:c>
      <x:c r="L15" s="56" t="str">
        <x:f>IF(K15=1,IF(J15&gt;H15,"完了（遅延）","完了"),IF(I15="",IF($B$6&gt;G15,"着手遅れ","未着手"),IF($B$6&gt;H15,"遅延","進行中")))</x:f>
        <x:v>完了</x:v>
      </x:c>
      <x:c r="M15" s="61" t="n">
        <x:f>IF(K15=1,MAX(0,J15-H15),IF($B$6&gt;H15,$B$6-H15,0))</x:f>
        <x:v>0</x:v>
      </x:c>
      <x:c r="N15" s="54" t="str">
        <x:v>1.3</x:v>
      </x:c>
      <x:c r="O15" s="55" t="str">
        <x:v>指摘12件を当日中に反映</x:v>
      </x:c>
      <x:c r="P15" s="65" t="str">
        <x:f>IF(AND($I15&lt;&gt;"",P$11&lt;=IF($J15&lt;&gt;"",$J15,$B$6),P$11+6&gt;=$I15),"実",IF(AND(P$11&lt;=$H15,P$11+6&gt;=$G15),"予",""))</x:f>
      </x:c>
      <x:c r="Q15" s="65" t="str">
        <x:f>IF(AND($I15&lt;&gt;"",Q$11&lt;=IF($J15&lt;&gt;"",$J15,$B$6),Q$11+6&gt;=$I15),"実",IF(AND(Q$11&lt;=$H15,Q$11+6&gt;=$G15),"予",""))</x:f>
      </x:c>
      <x:c r="R15" s="65" t="str">
        <x:f>IF(AND($I15&lt;&gt;"",R$11&lt;=IF($J15&lt;&gt;"",$J15,$B$6),R$11+6&gt;=$I15),"実",IF(AND(R$11&lt;=$H15,R$11+6&gt;=$G15),"予",""))</x:f>
        <x:v>実</x:v>
      </x:c>
      <x:c r="S15" s="65" t="str">
        <x:f>IF(AND($I15&lt;&gt;"",S$11&lt;=IF($J15&lt;&gt;"",$J15,$B$6),S$11+6&gt;=$I15),"実",IF(AND(S$11&lt;=$H15,S$11+6&gt;=$G15),"予",""))</x:f>
      </x:c>
      <x:c r="T15" s="65" t="str">
        <x:f>IF(AND($I15&lt;&gt;"",T$11&lt;=IF($J15&lt;&gt;"",$J15,$B$6),T$11+6&gt;=$I15),"実",IF(AND(T$11&lt;=$H15,T$11+6&gt;=$G15),"予",""))</x:f>
      </x:c>
      <x:c r="U15" s="65" t="str">
        <x:f>IF(AND($I15&lt;&gt;"",U$11&lt;=IF($J15&lt;&gt;"",$J15,$B$6),U$11+6&gt;=$I15),"実",IF(AND(U$11&lt;=$H15,U$11+6&gt;=$G15),"予",""))</x:f>
      </x:c>
      <x:c r="V15" s="65" t="str">
        <x:f>IF(AND($I15&lt;&gt;"",V$11&lt;=IF($J15&lt;&gt;"",$J15,$B$6),V$11+6&gt;=$I15),"実",IF(AND(V$11&lt;=$H15,V$11+6&gt;=$G15),"予",""))</x:f>
      </x:c>
      <x:c r="W15" s="65" t="str">
        <x:f>IF(AND($I15&lt;&gt;"",W$11&lt;=IF($J15&lt;&gt;"",$J15,$B$6),W$11+6&gt;=$I15),"実",IF(AND(W$11&lt;=$H15,W$11+6&gt;=$G15),"予",""))</x:f>
      </x:c>
      <x:c r="X15" s="65" t="str">
        <x:f>IF(AND($I15&lt;&gt;"",X$11&lt;=IF($J15&lt;&gt;"",$J15,$B$6),X$11+6&gt;=$I15),"実",IF(AND(X$11&lt;=$H15,X$11+6&gt;=$G15),"予",""))</x:f>
      </x:c>
      <x:c r="Y15" s="65" t="str">
        <x:f>IF(AND($I15&lt;&gt;"",Y$11&lt;=IF($J15&lt;&gt;"",$J15,$B$6),Y$11+6&gt;=$I15),"実",IF(AND(Y$11&lt;=$H15,Y$11+6&gt;=$G15),"予",""))</x:f>
      </x:c>
      <x:c r="Z15" s="65" t="str">
        <x:f>IF(AND($I15&lt;&gt;"",Z$11&lt;=IF($J15&lt;&gt;"",$J15,$B$6),Z$11+6&gt;=$I15),"実",IF(AND(Z$11&lt;=$H15,Z$11+6&gt;=$G15),"予",""))</x:f>
      </x:c>
      <x:c r="AA15" s="65" t="str">
        <x:f>IF(AND($I15&lt;&gt;"",AA$11&lt;=IF($J15&lt;&gt;"",$J15,$B$6),AA$11+6&gt;=$I15),"実",IF(AND(AA$11&lt;=$H15,AA$11+6&gt;=$G15),"予",""))</x:f>
      </x:c>
      <x:c r="AB15" s="65" t="str">
        <x:f>IF(AND($I15&lt;&gt;"",AB$11&lt;=IF($J15&lt;&gt;"",$J15,$B$6),AB$11+6&gt;=$I15),"実",IF(AND(AB$11&lt;=$H15,AB$11+6&gt;=$G15),"予",""))</x:f>
      </x:c>
      <x:c r="AC15" s="65" t="str">
        <x:f>IF(AND($I15&lt;&gt;"",AC$11&lt;=IF($J15&lt;&gt;"",$J15,$B$6),AC$11+6&gt;=$I15),"実",IF(AND(AC$11&lt;=$H15,AC$11+6&gt;=$G15),"予",""))</x:f>
      </x:c>
      <x:c r="AD15" s="65" t="str">
        <x:f>IF(AND($I15&lt;&gt;"",AD$11&lt;=IF($J15&lt;&gt;"",$J15,$B$6),AD$11+6&gt;=$I15),"実",IF(AND(AD$11&lt;=$H15,AD$11+6&gt;=$G15),"予",""))</x:f>
      </x:c>
      <x:c r="AE15" s="65" t="str">
        <x:f>IF(AND($I15&lt;&gt;"",AE$11&lt;=IF($J15&lt;&gt;"",$J15,$B$6),AE$11+6&gt;=$I15),"実",IF(AND(AE$11&lt;=$H15,AE$11+6&gt;=$G15),"予",""))</x:f>
      </x:c>
    </x:row>
    <x:row r="16" ht="34" customHeight="1">
      <x:c r="A16" s="56" t="n">
        <x:v>5</x:v>
      </x:c>
      <x:c r="B16" s="56" t="str">
        <x:v>1.5</x:v>
      </x:c>
      <x:c r="C16" s="57" t="str">
        <x:v>調査</x:v>
      </x:c>
      <x:c r="D16" s="55" t="str">
        <x:v>現行データ調査</x:v>
      </x:c>
      <x:c r="E16" s="55" t="str">
        <x:v>データ調査結果</x:v>
      </x:c>
      <x:c r="F16" s="62" t="str">
        <x:v>伊藤</x:v>
      </x:c>
      <x:c r="G16" s="63" t="n">
        <x:v>46273</x:v>
      </x:c>
      <x:c r="H16" s="63" t="n">
        <x:v>46283</x:v>
      </x:c>
      <x:c r="I16" s="63" t="n">
        <x:v>46273</x:v>
      </x:c>
      <x:c r="J16" s="63"/>
      <x:c r="K16" s="64" t="n">
        <x:v>0.85</x:v>
      </x:c>
      <x:c r="L16" s="56" t="str">
        <x:f>IF(K16=1,IF(J16&gt;H16,"完了（遅延）","完了"),IF(I16="",IF($B$6&gt;G16,"着手遅れ","未着手"),IF($B$6&gt;H16,"遅延","進行中")))</x:f>
        <x:v>遅延</x:v>
      </x:c>
      <x:c r="M16" s="61" t="n">
        <x:f>IF(K16=1,MAX(0,J16-H16),IF($B$6&gt;H16,$B$6-H16,0))</x:f>
        <x:v>1</x:v>
      </x:c>
      <x:c r="N16" s="54" t="str">
        <x:v>1.2</x:v>
      </x:c>
      <x:c r="O16" s="55" t="str">
        <x:v>住所データの欠損確認が残存</x:v>
      </x:c>
      <x:c r="P16" s="65" t="str">
        <x:f>IF(AND($I16&lt;&gt;"",P$11&lt;=IF($J16&lt;&gt;"",$J16,$B$6),P$11+6&gt;=$I16),"実",IF(AND(P$11&lt;=$H16,P$11+6&gt;=$G16),"予",""))</x:f>
      </x:c>
      <x:c r="Q16" s="65" t="str">
        <x:f>IF(AND($I16&lt;&gt;"",Q$11&lt;=IF($J16&lt;&gt;"",$J16,$B$6),Q$11+6&gt;=$I16),"実",IF(AND(Q$11&lt;=$H16,Q$11+6&gt;=$G16),"予",""))</x:f>
        <x:v>実</x:v>
      </x:c>
      <x:c r="R16" s="65" t="str">
        <x:f>IF(AND($I16&lt;&gt;"",R$11&lt;=IF($J16&lt;&gt;"",$J16,$B$6),R$11+6&gt;=$I16),"実",IF(AND(R$11&lt;=$H16,R$11+6&gt;=$G16),"予",""))</x:f>
        <x:v>実</x:v>
      </x:c>
      <x:c r="S16" s="65" t="str">
        <x:f>IF(AND($I16&lt;&gt;"",S$11&lt;=IF($J16&lt;&gt;"",$J16,$B$6),S$11+6&gt;=$I16),"実",IF(AND(S$11&lt;=$H16,S$11+6&gt;=$G16),"予",""))</x:f>
      </x:c>
      <x:c r="T16" s="65" t="str">
        <x:f>IF(AND($I16&lt;&gt;"",T$11&lt;=IF($J16&lt;&gt;"",$J16,$B$6),T$11+6&gt;=$I16),"実",IF(AND(T$11&lt;=$H16,T$11+6&gt;=$G16),"予",""))</x:f>
      </x:c>
      <x:c r="U16" s="65" t="str">
        <x:f>IF(AND($I16&lt;&gt;"",U$11&lt;=IF($J16&lt;&gt;"",$J16,$B$6),U$11+6&gt;=$I16),"実",IF(AND(U$11&lt;=$H16,U$11+6&gt;=$G16),"予",""))</x:f>
      </x:c>
      <x:c r="V16" s="65" t="str">
        <x:f>IF(AND($I16&lt;&gt;"",V$11&lt;=IF($J16&lt;&gt;"",$J16,$B$6),V$11+6&gt;=$I16),"実",IF(AND(V$11&lt;=$H16,V$11+6&gt;=$G16),"予",""))</x:f>
      </x:c>
      <x:c r="W16" s="65" t="str">
        <x:f>IF(AND($I16&lt;&gt;"",W$11&lt;=IF($J16&lt;&gt;"",$J16,$B$6),W$11+6&gt;=$I16),"実",IF(AND(W$11&lt;=$H16,W$11+6&gt;=$G16),"予",""))</x:f>
      </x:c>
      <x:c r="X16" s="65" t="str">
        <x:f>IF(AND($I16&lt;&gt;"",X$11&lt;=IF($J16&lt;&gt;"",$J16,$B$6),X$11+6&gt;=$I16),"実",IF(AND(X$11&lt;=$H16,X$11+6&gt;=$G16),"予",""))</x:f>
      </x:c>
      <x:c r="Y16" s="65" t="str">
        <x:f>IF(AND($I16&lt;&gt;"",Y$11&lt;=IF($J16&lt;&gt;"",$J16,$B$6),Y$11+6&gt;=$I16),"実",IF(AND(Y$11&lt;=$H16,Y$11+6&gt;=$G16),"予",""))</x:f>
      </x:c>
      <x:c r="Z16" s="65" t="str">
        <x:f>IF(AND($I16&lt;&gt;"",Z$11&lt;=IF($J16&lt;&gt;"",$J16,$B$6),Z$11+6&gt;=$I16),"実",IF(AND(Z$11&lt;=$H16,Z$11+6&gt;=$G16),"予",""))</x:f>
      </x:c>
      <x:c r="AA16" s="65" t="str">
        <x:f>IF(AND($I16&lt;&gt;"",AA$11&lt;=IF($J16&lt;&gt;"",$J16,$B$6),AA$11+6&gt;=$I16),"実",IF(AND(AA$11&lt;=$H16,AA$11+6&gt;=$G16),"予",""))</x:f>
      </x:c>
      <x:c r="AB16" s="65" t="str">
        <x:f>IF(AND($I16&lt;&gt;"",AB$11&lt;=IF($J16&lt;&gt;"",$J16,$B$6),AB$11+6&gt;=$I16),"実",IF(AND(AB$11&lt;=$H16,AB$11+6&gt;=$G16),"予",""))</x:f>
      </x:c>
      <x:c r="AC16" s="65" t="str">
        <x:f>IF(AND($I16&lt;&gt;"",AC$11&lt;=IF($J16&lt;&gt;"",$J16,$B$6),AC$11+6&gt;=$I16),"実",IF(AND(AC$11&lt;=$H16,AC$11+6&gt;=$G16),"予",""))</x:f>
      </x:c>
      <x:c r="AD16" s="65" t="str">
        <x:f>IF(AND($I16&lt;&gt;"",AD$11&lt;=IF($J16&lt;&gt;"",$J16,$B$6),AD$11+6&gt;=$I16),"実",IF(AND(AD$11&lt;=$H16,AD$11+6&gt;=$G16),"予",""))</x:f>
      </x:c>
      <x:c r="AE16" s="65" t="str">
        <x:f>IF(AND($I16&lt;&gt;"",AE$11&lt;=IF($J16&lt;&gt;"",$J16,$B$6),AE$11+6&gt;=$I16),"実",IF(AND(AE$11&lt;=$H16,AE$11+6&gt;=$G16),"予",""))</x:f>
      </x:c>
    </x:row>
    <x:row r="17" ht="34" customHeight="1">
      <x:c r="A17" s="56" t="n">
        <x:v>6</x:v>
      </x:c>
      <x:c r="B17" s="56" t="str">
        <x:v>1.6</x:v>
      </x:c>
      <x:c r="C17" s="57" t="str">
        <x:v>環境</x:v>
      </x:c>
      <x:c r="D17" s="55" t="str">
        <x:v>開発環境構築</x:v>
      </x:c>
      <x:c r="E17" s="55" t="str">
        <x:v>環境構築記録</x:v>
      </x:c>
      <x:c r="F17" s="62" t="str">
        <x:v>鈴木</x:v>
      </x:c>
      <x:c r="G17" s="63" t="n">
        <x:v>46280</x:v>
      </x:c>
      <x:c r="H17" s="63" t="n">
        <x:v>46283</x:v>
      </x:c>
      <x:c r="I17" s="63"/>
      <x:c r="J17" s="63"/>
      <x:c r="K17" s="64" t="n">
        <x:v>0</x:v>
      </x:c>
      <x:c r="L17" s="56" t="str">
        <x:f>IF(K17=1,IF(J17&gt;H17,"完了（遅延）","完了"),IF(I17="",IF($B$6&gt;G17,"着手遅れ","未着手"),IF($B$6&gt;H17,"遅延","進行中")))</x:f>
        <x:v>着手遅れ</x:v>
      </x:c>
      <x:c r="M17" s="61" t="n">
        <x:f>IF(K17=1,MAX(0,J17-H17),IF($B$6&gt;H17,$B$6-H17,0))</x:f>
        <x:v>1</x:v>
      </x:c>
      <x:c r="N17" s="54" t="str">
        <x:v>1.4</x:v>
      </x:c>
      <x:c r="O17" s="55" t="str">
        <x:v>IAM権限申請待ち。9/22着手見込み</x:v>
      </x:c>
      <x:c r="P17" s="65" t="str">
        <x:f>IF(AND($I17&lt;&gt;"",P$11&lt;=IF($J17&lt;&gt;"",$J17,$B$6),P$11+6&gt;=$I17),"実",IF(AND(P$11&lt;=$H17,P$11+6&gt;=$G17),"予",""))</x:f>
      </x:c>
      <x:c r="Q17" s="65" t="str">
        <x:f>IF(AND($I17&lt;&gt;"",Q$11&lt;=IF($J17&lt;&gt;"",$J17,$B$6),Q$11+6&gt;=$I17),"実",IF(AND(Q$11&lt;=$H17,Q$11+6&gt;=$G17),"予",""))</x:f>
      </x:c>
      <x:c r="R17" s="65" t="str">
        <x:f>IF(AND($I17&lt;&gt;"",R$11&lt;=IF($J17&lt;&gt;"",$J17,$B$6),R$11+6&gt;=$I17),"実",IF(AND(R$11&lt;=$H17,R$11+6&gt;=$G17),"予",""))</x:f>
        <x:v>予</x:v>
      </x:c>
      <x:c r="S17" s="65" t="str">
        <x:f>IF(AND($I17&lt;&gt;"",S$11&lt;=IF($J17&lt;&gt;"",$J17,$B$6),S$11+6&gt;=$I17),"実",IF(AND(S$11&lt;=$H17,S$11+6&gt;=$G17),"予",""))</x:f>
      </x:c>
      <x:c r="T17" s="65" t="str">
        <x:f>IF(AND($I17&lt;&gt;"",T$11&lt;=IF($J17&lt;&gt;"",$J17,$B$6),T$11+6&gt;=$I17),"実",IF(AND(T$11&lt;=$H17,T$11+6&gt;=$G17),"予",""))</x:f>
      </x:c>
      <x:c r="U17" s="65" t="str">
        <x:f>IF(AND($I17&lt;&gt;"",U$11&lt;=IF($J17&lt;&gt;"",$J17,$B$6),U$11+6&gt;=$I17),"実",IF(AND(U$11&lt;=$H17,U$11+6&gt;=$G17),"予",""))</x:f>
      </x:c>
      <x:c r="V17" s="65" t="str">
        <x:f>IF(AND($I17&lt;&gt;"",V$11&lt;=IF($J17&lt;&gt;"",$J17,$B$6),V$11+6&gt;=$I17),"実",IF(AND(V$11&lt;=$H17,V$11+6&gt;=$G17),"予",""))</x:f>
      </x:c>
      <x:c r="W17" s="65" t="str">
        <x:f>IF(AND($I17&lt;&gt;"",W$11&lt;=IF($J17&lt;&gt;"",$J17,$B$6),W$11+6&gt;=$I17),"実",IF(AND(W$11&lt;=$H17,W$11+6&gt;=$G17),"予",""))</x:f>
      </x:c>
      <x:c r="X17" s="65" t="str">
        <x:f>IF(AND($I17&lt;&gt;"",X$11&lt;=IF($J17&lt;&gt;"",$J17,$B$6),X$11+6&gt;=$I17),"実",IF(AND(X$11&lt;=$H17,X$11+6&gt;=$G17),"予",""))</x:f>
      </x:c>
      <x:c r="Y17" s="65" t="str">
        <x:f>IF(AND($I17&lt;&gt;"",Y$11&lt;=IF($J17&lt;&gt;"",$J17,$B$6),Y$11+6&gt;=$I17),"実",IF(AND(Y$11&lt;=$H17,Y$11+6&gt;=$G17),"予",""))</x:f>
      </x:c>
      <x:c r="Z17" s="65" t="str">
        <x:f>IF(AND($I17&lt;&gt;"",Z$11&lt;=IF($J17&lt;&gt;"",$J17,$B$6),Z$11+6&gt;=$I17),"実",IF(AND(Z$11&lt;=$H17,Z$11+6&gt;=$G17),"予",""))</x:f>
      </x:c>
      <x:c r="AA17" s="65" t="str">
        <x:f>IF(AND($I17&lt;&gt;"",AA$11&lt;=IF($J17&lt;&gt;"",$J17,$B$6),AA$11+6&gt;=$I17),"実",IF(AND(AA$11&lt;=$H17,AA$11+6&gt;=$G17),"予",""))</x:f>
      </x:c>
      <x:c r="AB17" s="65" t="str">
        <x:f>IF(AND($I17&lt;&gt;"",AB$11&lt;=IF($J17&lt;&gt;"",$J17,$B$6),AB$11+6&gt;=$I17),"実",IF(AND(AB$11&lt;=$H17,AB$11+6&gt;=$G17),"予",""))</x:f>
      </x:c>
      <x:c r="AC17" s="65" t="str">
        <x:f>IF(AND($I17&lt;&gt;"",AC$11&lt;=IF($J17&lt;&gt;"",$J17,$B$6),AC$11+6&gt;=$I17),"実",IF(AND(AC$11&lt;=$H17,AC$11+6&gt;=$G17),"予",""))</x:f>
      </x:c>
      <x:c r="AD17" s="65" t="str">
        <x:f>IF(AND($I17&lt;&gt;"",AD$11&lt;=IF($J17&lt;&gt;"",$J17,$B$6),AD$11+6&gt;=$I17),"実",IF(AND(AD$11&lt;=$H17,AD$11+6&gt;=$G17),"予",""))</x:f>
      </x:c>
      <x:c r="AE17" s="65" t="str">
        <x:f>IF(AND($I17&lt;&gt;"",AE$11&lt;=IF($J17&lt;&gt;"",$J17,$B$6),AE$11+6&gt;=$I17),"実",IF(AND(AE$11&lt;=$H17,AE$11+6&gt;=$G17),"予",""))</x:f>
      </x:c>
    </x:row>
    <x:row r="18" ht="34" customHeight="1">
      <x:c r="A18" s="56" t="n">
        <x:v>7</x:v>
      </x:c>
      <x:c r="B18" s="56" t="str">
        <x:v>2.1</x:v>
      </x:c>
      <x:c r="C18" s="57" t="str">
        <x:v>基本設計</x:v>
      </x:c>
      <x:c r="D18" s="55" t="str">
        <x:v>機能設計</x:v>
      </x:c>
      <x:c r="E18" s="55" t="str">
        <x:v>機能設計書</x:v>
      </x:c>
      <x:c r="F18" s="62" t="str">
        <x:v>高橋</x:v>
      </x:c>
      <x:c r="G18" s="63" t="n">
        <x:v>46281</x:v>
      </x:c>
      <x:c r="H18" s="63" t="n">
        <x:v>46290</x:v>
      </x:c>
      <x:c r="I18" s="63" t="n">
        <x:v>46281</x:v>
      </x:c>
      <x:c r="J18" s="63"/>
      <x:c r="K18" s="64" t="n">
        <x:v>0.45</x:v>
      </x:c>
      <x:c r="L18" s="56" t="str">
        <x:f>IF(K18=1,IF(J18&gt;H18,"完了（遅延）","完了"),IF(I18="",IF($B$6&gt;G18,"着手遅れ","未着手"),IF($B$6&gt;H18,"遅延","進行中")))</x:f>
        <x:v>進行中</x:v>
      </x:c>
      <x:c r="M18" s="61" t="n">
        <x:f>IF(K18=1,MAX(0,J18-H18),IF($B$6&gt;H18,$B$6-H18,0))</x:f>
        <x:v>0</x:v>
      </x:c>
      <x:c r="N18" s="54" t="str">
        <x:v>1.4</x:v>
      </x:c>
      <x:c r="O18" s="55" t="str">
        <x:v>顧客検索・登録・更新を対象</x:v>
      </x:c>
      <x:c r="P18" s="65" t="str">
        <x:f>IF(AND($I18&lt;&gt;"",P$11&lt;=IF($J18&lt;&gt;"",$J18,$B$6),P$11+6&gt;=$I18),"実",IF(AND(P$11&lt;=$H18,P$11+6&gt;=$G18),"予",""))</x:f>
      </x:c>
      <x:c r="Q18" s="65" t="str">
        <x:f>IF(AND($I18&lt;&gt;"",Q$11&lt;=IF($J18&lt;&gt;"",$J18,$B$6),Q$11+6&gt;=$I18),"実",IF(AND(Q$11&lt;=$H18,Q$11+6&gt;=$G18),"予",""))</x:f>
      </x:c>
      <x:c r="R18" s="65" t="str">
        <x:f>IF(AND($I18&lt;&gt;"",R$11&lt;=IF($J18&lt;&gt;"",$J18,$B$6),R$11+6&gt;=$I18),"実",IF(AND(R$11&lt;=$H18,R$11+6&gt;=$G18),"予",""))</x:f>
        <x:v>実</x:v>
      </x:c>
      <x:c r="S18" s="65" t="str">
        <x:f>IF(AND($I18&lt;&gt;"",S$11&lt;=IF($J18&lt;&gt;"",$J18,$B$6),S$11+6&gt;=$I18),"実",IF(AND(S$11&lt;=$H18,S$11+6&gt;=$G18),"予",""))</x:f>
        <x:v>予</x:v>
      </x:c>
      <x:c r="T18" s="65" t="str">
        <x:f>IF(AND($I18&lt;&gt;"",T$11&lt;=IF($J18&lt;&gt;"",$J18,$B$6),T$11+6&gt;=$I18),"実",IF(AND(T$11&lt;=$H18,T$11+6&gt;=$G18),"予",""))</x:f>
      </x:c>
      <x:c r="U18" s="65" t="str">
        <x:f>IF(AND($I18&lt;&gt;"",U$11&lt;=IF($J18&lt;&gt;"",$J18,$B$6),U$11+6&gt;=$I18),"実",IF(AND(U$11&lt;=$H18,U$11+6&gt;=$G18),"予",""))</x:f>
      </x:c>
      <x:c r="V18" s="65" t="str">
        <x:f>IF(AND($I18&lt;&gt;"",V$11&lt;=IF($J18&lt;&gt;"",$J18,$B$6),V$11+6&gt;=$I18),"実",IF(AND(V$11&lt;=$H18,V$11+6&gt;=$G18),"予",""))</x:f>
      </x:c>
      <x:c r="W18" s="65" t="str">
        <x:f>IF(AND($I18&lt;&gt;"",W$11&lt;=IF($J18&lt;&gt;"",$J18,$B$6),W$11+6&gt;=$I18),"実",IF(AND(W$11&lt;=$H18,W$11+6&gt;=$G18),"予",""))</x:f>
      </x:c>
      <x:c r="X18" s="65" t="str">
        <x:f>IF(AND($I18&lt;&gt;"",X$11&lt;=IF($J18&lt;&gt;"",$J18,$B$6),X$11+6&gt;=$I18),"実",IF(AND(X$11&lt;=$H18,X$11+6&gt;=$G18),"予",""))</x:f>
      </x:c>
      <x:c r="Y18" s="65" t="str">
        <x:f>IF(AND($I18&lt;&gt;"",Y$11&lt;=IF($J18&lt;&gt;"",$J18,$B$6),Y$11+6&gt;=$I18),"実",IF(AND(Y$11&lt;=$H18,Y$11+6&gt;=$G18),"予",""))</x:f>
      </x:c>
      <x:c r="Z18" s="65" t="str">
        <x:f>IF(AND($I18&lt;&gt;"",Z$11&lt;=IF($J18&lt;&gt;"",$J18,$B$6),Z$11+6&gt;=$I18),"実",IF(AND(Z$11&lt;=$H18,Z$11+6&gt;=$G18),"予",""))</x:f>
      </x:c>
      <x:c r="AA18" s="65" t="str">
        <x:f>IF(AND($I18&lt;&gt;"",AA$11&lt;=IF($J18&lt;&gt;"",$J18,$B$6),AA$11+6&gt;=$I18),"実",IF(AND(AA$11&lt;=$H18,AA$11+6&gt;=$G18),"予",""))</x:f>
      </x:c>
      <x:c r="AB18" s="65" t="str">
        <x:f>IF(AND($I18&lt;&gt;"",AB$11&lt;=IF($J18&lt;&gt;"",$J18,$B$6),AB$11+6&gt;=$I18),"実",IF(AND(AB$11&lt;=$H18,AB$11+6&gt;=$G18),"予",""))</x:f>
      </x:c>
      <x:c r="AC18" s="65" t="str">
        <x:f>IF(AND($I18&lt;&gt;"",AC$11&lt;=IF($J18&lt;&gt;"",$J18,$B$6),AC$11+6&gt;=$I18),"実",IF(AND(AC$11&lt;=$H18,AC$11+6&gt;=$G18),"予",""))</x:f>
      </x:c>
      <x:c r="AD18" s="65" t="str">
        <x:f>IF(AND($I18&lt;&gt;"",AD$11&lt;=IF($J18&lt;&gt;"",$J18,$B$6),AD$11+6&gt;=$I18),"実",IF(AND(AD$11&lt;=$H18,AD$11+6&gt;=$G18),"予",""))</x:f>
      </x:c>
      <x:c r="AE18" s="65" t="str">
        <x:f>IF(AND($I18&lt;&gt;"",AE$11&lt;=IF($J18&lt;&gt;"",$J18,$B$6),AE$11+6&gt;=$I18),"実",IF(AND(AE$11&lt;=$H18,AE$11+6&gt;=$G18),"予",""))</x:f>
      </x:c>
    </x:row>
    <x:row r="19" ht="34" customHeight="1">
      <x:c r="A19" s="56" t="n">
        <x:v>8</x:v>
      </x:c>
      <x:c r="B19" s="56" t="str">
        <x:v>2.2</x:v>
      </x:c>
      <x:c r="C19" s="57" t="str">
        <x:v>基本設計</x:v>
      </x:c>
      <x:c r="D19" s="55" t="str">
        <x:v>画面設計</x:v>
      </x:c>
      <x:c r="E19" s="55" t="str">
        <x:v>画面設計書</x:v>
      </x:c>
      <x:c r="F19" s="62" t="str">
        <x:v>佐藤</x:v>
      </x:c>
      <x:c r="G19" s="63" t="n">
        <x:v>46281</x:v>
      </x:c>
      <x:c r="H19" s="63" t="n">
        <x:v>46290</x:v>
      </x:c>
      <x:c r="I19" s="63" t="n">
        <x:v>46281</x:v>
      </x:c>
      <x:c r="J19" s="63"/>
      <x:c r="K19" s="64" t="n">
        <x:v>0.35</x:v>
      </x:c>
      <x:c r="L19" s="56" t="str">
        <x:f>IF(K19=1,IF(J19&gt;H19,"完了（遅延）","完了"),IF(I19="",IF($B$6&gt;G19,"着手遅れ","未着手"),IF($B$6&gt;H19,"遅延","進行中")))</x:f>
        <x:v>進行中</x:v>
      </x:c>
      <x:c r="M19" s="61" t="n">
        <x:f>IF(K19=1,MAX(0,J19-H19),IF($B$6&gt;H19,$B$6-H19,0))</x:f>
        <x:v>0</x:v>
      </x:c>
      <x:c r="N19" s="54" t="str">
        <x:v>1.4</x:v>
      </x:c>
      <x:c r="O19" s="55" t="str">
        <x:v>検索画面の項目定義を作成中</x:v>
      </x:c>
      <x:c r="P19" s="65" t="str">
        <x:f>IF(AND($I19&lt;&gt;"",P$11&lt;=IF($J19&lt;&gt;"",$J19,$B$6),P$11+6&gt;=$I19),"実",IF(AND(P$11&lt;=$H19,P$11+6&gt;=$G19),"予",""))</x:f>
      </x:c>
      <x:c r="Q19" s="65" t="str">
        <x:f>IF(AND($I19&lt;&gt;"",Q$11&lt;=IF($J19&lt;&gt;"",$J19,$B$6),Q$11+6&gt;=$I19),"実",IF(AND(Q$11&lt;=$H19,Q$11+6&gt;=$G19),"予",""))</x:f>
      </x:c>
      <x:c r="R19" s="65" t="str">
        <x:f>IF(AND($I19&lt;&gt;"",R$11&lt;=IF($J19&lt;&gt;"",$J19,$B$6),R$11+6&gt;=$I19),"実",IF(AND(R$11&lt;=$H19,R$11+6&gt;=$G19),"予",""))</x:f>
        <x:v>実</x:v>
      </x:c>
      <x:c r="S19" s="65" t="str">
        <x:f>IF(AND($I19&lt;&gt;"",S$11&lt;=IF($J19&lt;&gt;"",$J19,$B$6),S$11+6&gt;=$I19),"実",IF(AND(S$11&lt;=$H19,S$11+6&gt;=$G19),"予",""))</x:f>
        <x:v>予</x:v>
      </x:c>
      <x:c r="T19" s="65" t="str">
        <x:f>IF(AND($I19&lt;&gt;"",T$11&lt;=IF($J19&lt;&gt;"",$J19,$B$6),T$11+6&gt;=$I19),"実",IF(AND(T$11&lt;=$H19,T$11+6&gt;=$G19),"予",""))</x:f>
      </x:c>
      <x:c r="U19" s="65" t="str">
        <x:f>IF(AND($I19&lt;&gt;"",U$11&lt;=IF($J19&lt;&gt;"",$J19,$B$6),U$11+6&gt;=$I19),"実",IF(AND(U$11&lt;=$H19,U$11+6&gt;=$G19),"予",""))</x:f>
      </x:c>
      <x:c r="V19" s="65" t="str">
        <x:f>IF(AND($I19&lt;&gt;"",V$11&lt;=IF($J19&lt;&gt;"",$J19,$B$6),V$11+6&gt;=$I19),"実",IF(AND(V$11&lt;=$H19,V$11+6&gt;=$G19),"予",""))</x:f>
      </x:c>
      <x:c r="W19" s="65" t="str">
        <x:f>IF(AND($I19&lt;&gt;"",W$11&lt;=IF($J19&lt;&gt;"",$J19,$B$6),W$11+6&gt;=$I19),"実",IF(AND(W$11&lt;=$H19,W$11+6&gt;=$G19),"予",""))</x:f>
      </x:c>
      <x:c r="X19" s="65" t="str">
        <x:f>IF(AND($I19&lt;&gt;"",X$11&lt;=IF($J19&lt;&gt;"",$J19,$B$6),X$11+6&gt;=$I19),"実",IF(AND(X$11&lt;=$H19,X$11+6&gt;=$G19),"予",""))</x:f>
      </x:c>
      <x:c r="Y19" s="65" t="str">
        <x:f>IF(AND($I19&lt;&gt;"",Y$11&lt;=IF($J19&lt;&gt;"",$J19,$B$6),Y$11+6&gt;=$I19),"実",IF(AND(Y$11&lt;=$H19,Y$11+6&gt;=$G19),"予",""))</x:f>
      </x:c>
      <x:c r="Z19" s="65" t="str">
        <x:f>IF(AND($I19&lt;&gt;"",Z$11&lt;=IF($J19&lt;&gt;"",$J19,$B$6),Z$11+6&gt;=$I19),"実",IF(AND(Z$11&lt;=$H19,Z$11+6&gt;=$G19),"予",""))</x:f>
      </x:c>
      <x:c r="AA19" s="65" t="str">
        <x:f>IF(AND($I19&lt;&gt;"",AA$11&lt;=IF($J19&lt;&gt;"",$J19,$B$6),AA$11+6&gt;=$I19),"実",IF(AND(AA$11&lt;=$H19,AA$11+6&gt;=$G19),"予",""))</x:f>
      </x:c>
      <x:c r="AB19" s="65" t="str">
        <x:f>IF(AND($I19&lt;&gt;"",AB$11&lt;=IF($J19&lt;&gt;"",$J19,$B$6),AB$11+6&gt;=$I19),"実",IF(AND(AB$11&lt;=$H19,AB$11+6&gt;=$G19),"予",""))</x:f>
      </x:c>
      <x:c r="AC19" s="65" t="str">
        <x:f>IF(AND($I19&lt;&gt;"",AC$11&lt;=IF($J19&lt;&gt;"",$J19,$B$6),AC$11+6&gt;=$I19),"実",IF(AND(AC$11&lt;=$H19,AC$11+6&gt;=$G19),"予",""))</x:f>
      </x:c>
      <x:c r="AD19" s="65" t="str">
        <x:f>IF(AND($I19&lt;&gt;"",AD$11&lt;=IF($J19&lt;&gt;"",$J19,$B$6),AD$11+6&gt;=$I19),"実",IF(AND(AD$11&lt;=$H19,AD$11+6&gt;=$G19),"予",""))</x:f>
      </x:c>
      <x:c r="AE19" s="65" t="str">
        <x:f>IF(AND($I19&lt;&gt;"",AE$11&lt;=IF($J19&lt;&gt;"",$J19,$B$6),AE$11+6&gt;=$I19),"実",IF(AND(AE$11&lt;=$H19,AE$11+6&gt;=$G19),"予",""))</x:f>
      </x:c>
    </x:row>
    <x:row r="20" ht="34" customHeight="1">
      <x:c r="A20" s="56" t="n">
        <x:v>9</x:v>
      </x:c>
      <x:c r="B20" s="56" t="str">
        <x:v>2.3</x:v>
      </x:c>
      <x:c r="C20" s="57" t="str">
        <x:v>基本設計</x:v>
      </x:c>
      <x:c r="D20" s="55" t="str">
        <x:v>バッチ設計</x:v>
      </x:c>
      <x:c r="E20" s="55" t="str">
        <x:v>バッチ設計書</x:v>
      </x:c>
      <x:c r="F20" s="62" t="str">
        <x:v>伊藤</x:v>
      </x:c>
      <x:c r="G20" s="63" t="n">
        <x:v>46283</x:v>
      </x:c>
      <x:c r="H20" s="63" t="n">
        <x:v>46294</x:v>
      </x:c>
      <x:c r="I20" s="63" t="n">
        <x:v>46283</x:v>
      </x:c>
      <x:c r="J20" s="63"/>
      <x:c r="K20" s="64" t="n">
        <x:v>0.1</x:v>
      </x:c>
      <x:c r="L20" s="56" t="str">
        <x:f>IF(K20=1,IF(J20&gt;H20,"完了（遅延）","完了"),IF(I20="",IF($B$6&gt;G20,"着手遅れ","未着手"),IF($B$6&gt;H20,"遅延","進行中")))</x:f>
        <x:v>進行中</x:v>
      </x:c>
      <x:c r="M20" s="61" t="n">
        <x:f>IF(K20=1,MAX(0,J20-H20),IF($B$6&gt;H20,$B$6-H20,0))</x:f>
        <x:v>0</x:v>
      </x:c>
      <x:c r="N20" s="54" t="str">
        <x:v>1.5</x:v>
      </x:c>
      <x:c r="O20" s="55" t="str">
        <x:v>差分抽出条件を確認中</x:v>
      </x:c>
      <x:c r="P20" s="65" t="str">
        <x:f>IF(AND($I20&lt;&gt;"",P$11&lt;=IF($J20&lt;&gt;"",$J20,$B$6),P$11+6&gt;=$I20),"実",IF(AND(P$11&lt;=$H20,P$11+6&gt;=$G20),"予",""))</x:f>
      </x:c>
      <x:c r="Q20" s="65" t="str">
        <x:f>IF(AND($I20&lt;&gt;"",Q$11&lt;=IF($J20&lt;&gt;"",$J20,$B$6),Q$11+6&gt;=$I20),"実",IF(AND(Q$11&lt;=$H20,Q$11+6&gt;=$G20),"予",""))</x:f>
      </x:c>
      <x:c r="R20" s="65" t="str">
        <x:f>IF(AND($I20&lt;&gt;"",R$11&lt;=IF($J20&lt;&gt;"",$J20,$B$6),R$11+6&gt;=$I20),"実",IF(AND(R$11&lt;=$H20,R$11+6&gt;=$G20),"予",""))</x:f>
        <x:v>実</x:v>
      </x:c>
      <x:c r="S20" s="65" t="str">
        <x:f>IF(AND($I20&lt;&gt;"",S$11&lt;=IF($J20&lt;&gt;"",$J20,$B$6),S$11+6&gt;=$I20),"実",IF(AND(S$11&lt;=$H20,S$11+6&gt;=$G20),"予",""))</x:f>
        <x:v>予</x:v>
      </x:c>
      <x:c r="T20" s="65" t="str">
        <x:f>IF(AND($I20&lt;&gt;"",T$11&lt;=IF($J20&lt;&gt;"",$J20,$B$6),T$11+6&gt;=$I20),"実",IF(AND(T$11&lt;=$H20,T$11+6&gt;=$G20),"予",""))</x:f>
        <x:v>予</x:v>
      </x:c>
      <x:c r="U20" s="65" t="str">
        <x:f>IF(AND($I20&lt;&gt;"",U$11&lt;=IF($J20&lt;&gt;"",$J20,$B$6),U$11+6&gt;=$I20),"実",IF(AND(U$11&lt;=$H20,U$11+6&gt;=$G20),"予",""))</x:f>
      </x:c>
      <x:c r="V20" s="65" t="str">
        <x:f>IF(AND($I20&lt;&gt;"",V$11&lt;=IF($J20&lt;&gt;"",$J20,$B$6),V$11+6&gt;=$I20),"実",IF(AND(V$11&lt;=$H20,V$11+6&gt;=$G20),"予",""))</x:f>
      </x:c>
      <x:c r="W20" s="65" t="str">
        <x:f>IF(AND($I20&lt;&gt;"",W$11&lt;=IF($J20&lt;&gt;"",$J20,$B$6),W$11+6&gt;=$I20),"実",IF(AND(W$11&lt;=$H20,W$11+6&gt;=$G20),"予",""))</x:f>
      </x:c>
      <x:c r="X20" s="65" t="str">
        <x:f>IF(AND($I20&lt;&gt;"",X$11&lt;=IF($J20&lt;&gt;"",$J20,$B$6),X$11+6&gt;=$I20),"実",IF(AND(X$11&lt;=$H20,X$11+6&gt;=$G20),"予",""))</x:f>
      </x:c>
      <x:c r="Y20" s="65" t="str">
        <x:f>IF(AND($I20&lt;&gt;"",Y$11&lt;=IF($J20&lt;&gt;"",$J20,$B$6),Y$11+6&gt;=$I20),"実",IF(AND(Y$11&lt;=$H20,Y$11+6&gt;=$G20),"予",""))</x:f>
      </x:c>
      <x:c r="Z20" s="65" t="str">
        <x:f>IF(AND($I20&lt;&gt;"",Z$11&lt;=IF($J20&lt;&gt;"",$J20,$B$6),Z$11+6&gt;=$I20),"実",IF(AND(Z$11&lt;=$H20,Z$11+6&gt;=$G20),"予",""))</x:f>
      </x:c>
      <x:c r="AA20" s="65" t="str">
        <x:f>IF(AND($I20&lt;&gt;"",AA$11&lt;=IF($J20&lt;&gt;"",$J20,$B$6),AA$11+6&gt;=$I20),"実",IF(AND(AA$11&lt;=$H20,AA$11+6&gt;=$G20),"予",""))</x:f>
      </x:c>
      <x:c r="AB20" s="65" t="str">
        <x:f>IF(AND($I20&lt;&gt;"",AB$11&lt;=IF($J20&lt;&gt;"",$J20,$B$6),AB$11+6&gt;=$I20),"実",IF(AND(AB$11&lt;=$H20,AB$11+6&gt;=$G20),"予",""))</x:f>
      </x:c>
      <x:c r="AC20" s="65" t="str">
        <x:f>IF(AND($I20&lt;&gt;"",AC$11&lt;=IF($J20&lt;&gt;"",$J20,$B$6),AC$11+6&gt;=$I20),"実",IF(AND(AC$11&lt;=$H20,AC$11+6&gt;=$G20),"予",""))</x:f>
      </x:c>
      <x:c r="AD20" s="65" t="str">
        <x:f>IF(AND($I20&lt;&gt;"",AD$11&lt;=IF($J20&lt;&gt;"",$J20,$B$6),AD$11+6&gt;=$I20),"実",IF(AND(AD$11&lt;=$H20,AD$11+6&gt;=$G20),"予",""))</x:f>
      </x:c>
      <x:c r="AE20" s="65" t="str">
        <x:f>IF(AND($I20&lt;&gt;"",AE$11&lt;=IF($J20&lt;&gt;"",$J20,$B$6),AE$11+6&gt;=$I20),"実",IF(AND(AE$11&lt;=$H20,AE$11+6&gt;=$G20),"予",""))</x:f>
      </x:c>
    </x:row>
    <x:row r="21" ht="34" customHeight="1">
      <x:c r="A21" s="56" t="n">
        <x:v>10</x:v>
      </x:c>
      <x:c r="B21" s="56" t="str">
        <x:v>2.4</x:v>
      </x:c>
      <x:c r="C21" s="57" t="str">
        <x:v>基本設計</x:v>
      </x:c>
      <x:c r="D21" s="55" t="str">
        <x:v>API仕様作成</x:v>
      </x:c>
      <x:c r="E21" s="55" t="str">
        <x:v>API仕様書</x:v>
      </x:c>
      <x:c r="F21" s="62" t="str">
        <x:v>鈴木</x:v>
      </x:c>
      <x:c r="G21" s="63" t="n">
        <x:v>46283</x:v>
      </x:c>
      <x:c r="H21" s="63" t="n">
        <x:v>46294</x:v>
      </x:c>
      <x:c r="I21" s="63" t="n">
        <x:v>46283</x:v>
      </x:c>
      <x:c r="J21" s="63"/>
      <x:c r="K21" s="64" t="n">
        <x:v>0.1</x:v>
      </x:c>
      <x:c r="L21" s="56" t="str">
        <x:f>IF(K21=1,IF(J21&gt;H21,"完了（遅延）","完了"),IF(I21="",IF($B$6&gt;G21,"着手遅れ","未着手"),IF($B$6&gt;H21,"遅延","進行中")))</x:f>
        <x:v>進行中</x:v>
      </x:c>
      <x:c r="M21" s="61" t="n">
        <x:f>IF(K21=1,MAX(0,J21-H21),IF($B$6&gt;H21,$B$6-H21,0))</x:f>
        <x:v>0</x:v>
      </x:c>
      <x:c r="N21" s="54" t="str">
        <x:v>1.4</x:v>
      </x:c>
      <x:c r="O21" s="55" t="str">
        <x:v>検索APIの入出力を定義中</x:v>
      </x:c>
      <x:c r="P21" s="65" t="str">
        <x:f>IF(AND($I21&lt;&gt;"",P$11&lt;=IF($J21&lt;&gt;"",$J21,$B$6),P$11+6&gt;=$I21),"実",IF(AND(P$11&lt;=$H21,P$11+6&gt;=$G21),"予",""))</x:f>
      </x:c>
      <x:c r="Q21" s="65" t="str">
        <x:f>IF(AND($I21&lt;&gt;"",Q$11&lt;=IF($J21&lt;&gt;"",$J21,$B$6),Q$11+6&gt;=$I21),"実",IF(AND(Q$11&lt;=$H21,Q$11+6&gt;=$G21),"予",""))</x:f>
      </x:c>
      <x:c r="R21" s="65" t="str">
        <x:f>IF(AND($I21&lt;&gt;"",R$11&lt;=IF($J21&lt;&gt;"",$J21,$B$6),R$11+6&gt;=$I21),"実",IF(AND(R$11&lt;=$H21,R$11+6&gt;=$G21),"予",""))</x:f>
        <x:v>実</x:v>
      </x:c>
      <x:c r="S21" s="65" t="str">
        <x:f>IF(AND($I21&lt;&gt;"",S$11&lt;=IF($J21&lt;&gt;"",$J21,$B$6),S$11+6&gt;=$I21),"実",IF(AND(S$11&lt;=$H21,S$11+6&gt;=$G21),"予",""))</x:f>
        <x:v>予</x:v>
      </x:c>
      <x:c r="T21" s="65" t="str">
        <x:f>IF(AND($I21&lt;&gt;"",T$11&lt;=IF($J21&lt;&gt;"",$J21,$B$6),T$11+6&gt;=$I21),"実",IF(AND(T$11&lt;=$H21,T$11+6&gt;=$G21),"予",""))</x:f>
        <x:v>予</x:v>
      </x:c>
      <x:c r="U21" s="65" t="str">
        <x:f>IF(AND($I21&lt;&gt;"",U$11&lt;=IF($J21&lt;&gt;"",$J21,$B$6),U$11+6&gt;=$I21),"実",IF(AND(U$11&lt;=$H21,U$11+6&gt;=$G21),"予",""))</x:f>
      </x:c>
      <x:c r="V21" s="65" t="str">
        <x:f>IF(AND($I21&lt;&gt;"",V$11&lt;=IF($J21&lt;&gt;"",$J21,$B$6),V$11+6&gt;=$I21),"実",IF(AND(V$11&lt;=$H21,V$11+6&gt;=$G21),"予",""))</x:f>
      </x:c>
      <x:c r="W21" s="65" t="str">
        <x:f>IF(AND($I21&lt;&gt;"",W$11&lt;=IF($J21&lt;&gt;"",$J21,$B$6),W$11+6&gt;=$I21),"実",IF(AND(W$11&lt;=$H21,W$11+6&gt;=$G21),"予",""))</x:f>
      </x:c>
      <x:c r="X21" s="65" t="str">
        <x:f>IF(AND($I21&lt;&gt;"",X$11&lt;=IF($J21&lt;&gt;"",$J21,$B$6),X$11+6&gt;=$I21),"実",IF(AND(X$11&lt;=$H21,X$11+6&gt;=$G21),"予",""))</x:f>
      </x:c>
      <x:c r="Y21" s="65" t="str">
        <x:f>IF(AND($I21&lt;&gt;"",Y$11&lt;=IF($J21&lt;&gt;"",$J21,$B$6),Y$11+6&gt;=$I21),"実",IF(AND(Y$11&lt;=$H21,Y$11+6&gt;=$G21),"予",""))</x:f>
      </x:c>
      <x:c r="Z21" s="65" t="str">
        <x:f>IF(AND($I21&lt;&gt;"",Z$11&lt;=IF($J21&lt;&gt;"",$J21,$B$6),Z$11+6&gt;=$I21),"実",IF(AND(Z$11&lt;=$H21,Z$11+6&gt;=$G21),"予",""))</x:f>
      </x:c>
      <x:c r="AA21" s="65" t="str">
        <x:f>IF(AND($I21&lt;&gt;"",AA$11&lt;=IF($J21&lt;&gt;"",$J21,$B$6),AA$11+6&gt;=$I21),"実",IF(AND(AA$11&lt;=$H21,AA$11+6&gt;=$G21),"予",""))</x:f>
      </x:c>
      <x:c r="AB21" s="65" t="str">
        <x:f>IF(AND($I21&lt;&gt;"",AB$11&lt;=IF($J21&lt;&gt;"",$J21,$B$6),AB$11+6&gt;=$I21),"実",IF(AND(AB$11&lt;=$H21,AB$11+6&gt;=$G21),"予",""))</x:f>
      </x:c>
      <x:c r="AC21" s="65" t="str">
        <x:f>IF(AND($I21&lt;&gt;"",AC$11&lt;=IF($J21&lt;&gt;"",$J21,$B$6),AC$11+6&gt;=$I21),"実",IF(AND(AC$11&lt;=$H21,AC$11+6&gt;=$G21),"予",""))</x:f>
      </x:c>
      <x:c r="AD21" s="65" t="str">
        <x:f>IF(AND($I21&lt;&gt;"",AD$11&lt;=IF($J21&lt;&gt;"",$J21,$B$6),AD$11+6&gt;=$I21),"実",IF(AND(AD$11&lt;=$H21,AD$11+6&gt;=$G21),"予",""))</x:f>
      </x:c>
      <x:c r="AE21" s="65" t="str">
        <x:f>IF(AND($I21&lt;&gt;"",AE$11&lt;=IF($J21&lt;&gt;"",$J21,$B$6),AE$11+6&gt;=$I21),"実",IF(AND(AE$11&lt;=$H21,AE$11+6&gt;=$G21),"予",""))</x:f>
      </x:c>
    </x:row>
    <x:row r="22" ht="34" customHeight="1">
      <x:c r="A22" s="56" t="n">
        <x:v>11</x:v>
      </x:c>
      <x:c r="B22" s="56" t="str">
        <x:v>2.5</x:v>
      </x:c>
      <x:c r="C22" s="57" t="str">
        <x:v>基本設計</x:v>
      </x:c>
      <x:c r="D22" s="55" t="str">
        <x:v>外部インターフェース設計</x:v>
      </x:c>
      <x:c r="E22" s="55" t="str">
        <x:v>外部IF仕様書</x:v>
      </x:c>
      <x:c r="F22" s="62" t="str">
        <x:v>鈴木</x:v>
      </x:c>
      <x:c r="G22" s="63" t="n">
        <x:v>46286</x:v>
      </x:c>
      <x:c r="H22" s="63" t="n">
        <x:v>46295</x:v>
      </x:c>
      <x:c r="I22" s="63"/>
      <x:c r="J22" s="63"/>
      <x:c r="K22" s="64" t="n">
        <x:v>0</x:v>
      </x:c>
      <x:c r="L22" s="56" t="str">
        <x:f>IF(K22=1,IF(J22&gt;H22,"完了（遅延）","完了"),IF(I22="",IF($B$6&gt;G22,"着手遅れ","未着手"),IF($B$6&gt;H22,"遅延","進行中")))</x:f>
        <x:v>未着手</x:v>
      </x:c>
      <x:c r="M22" s="61" t="n">
        <x:f>IF(K22=1,MAX(0,J22-H22),IF($B$6&gt;H22,$B$6-H22,0))</x:f>
        <x:v>0</x:v>
      </x:c>
      <x:c r="N22" s="54" t="str">
        <x:v>2.4</x:v>
      </x:c>
      <x:c r="O22" s="55" t="str">
        <x:v>外部認証サービスとの接続仕様</x:v>
      </x:c>
      <x:c r="P22" s="65" t="str">
        <x:f>IF(AND($I22&lt;&gt;"",P$11&lt;=IF($J22&lt;&gt;"",$J22,$B$6),P$11+6&gt;=$I22),"実",IF(AND(P$11&lt;=$H22,P$11+6&gt;=$G22),"予",""))</x:f>
      </x:c>
      <x:c r="Q22" s="65" t="str">
        <x:f>IF(AND($I22&lt;&gt;"",Q$11&lt;=IF($J22&lt;&gt;"",$J22,$B$6),Q$11+6&gt;=$I22),"実",IF(AND(Q$11&lt;=$H22,Q$11+6&gt;=$G22),"予",""))</x:f>
      </x:c>
      <x:c r="R22" s="65" t="str">
        <x:f>IF(AND($I22&lt;&gt;"",R$11&lt;=IF($J22&lt;&gt;"",$J22,$B$6),R$11+6&gt;=$I22),"実",IF(AND(R$11&lt;=$H22,R$11+6&gt;=$G22),"予",""))</x:f>
      </x:c>
      <x:c r="S22" s="65" t="str">
        <x:f>IF(AND($I22&lt;&gt;"",S$11&lt;=IF($J22&lt;&gt;"",$J22,$B$6),S$11+6&gt;=$I22),"実",IF(AND(S$11&lt;=$H22,S$11+6&gt;=$G22),"予",""))</x:f>
        <x:v>予</x:v>
      </x:c>
      <x:c r="T22" s="65" t="str">
        <x:f>IF(AND($I22&lt;&gt;"",T$11&lt;=IF($J22&lt;&gt;"",$J22,$B$6),T$11+6&gt;=$I22),"実",IF(AND(T$11&lt;=$H22,T$11+6&gt;=$G22),"予",""))</x:f>
        <x:v>予</x:v>
      </x:c>
      <x:c r="U22" s="65" t="str">
        <x:f>IF(AND($I22&lt;&gt;"",U$11&lt;=IF($J22&lt;&gt;"",$J22,$B$6),U$11+6&gt;=$I22),"実",IF(AND(U$11&lt;=$H22,U$11+6&gt;=$G22),"予",""))</x:f>
      </x:c>
      <x:c r="V22" s="65" t="str">
        <x:f>IF(AND($I22&lt;&gt;"",V$11&lt;=IF($J22&lt;&gt;"",$J22,$B$6),V$11+6&gt;=$I22),"実",IF(AND(V$11&lt;=$H22,V$11+6&gt;=$G22),"予",""))</x:f>
      </x:c>
      <x:c r="W22" s="65" t="str">
        <x:f>IF(AND($I22&lt;&gt;"",W$11&lt;=IF($J22&lt;&gt;"",$J22,$B$6),W$11+6&gt;=$I22),"実",IF(AND(W$11&lt;=$H22,W$11+6&gt;=$G22),"予",""))</x:f>
      </x:c>
      <x:c r="X22" s="65" t="str">
        <x:f>IF(AND($I22&lt;&gt;"",X$11&lt;=IF($J22&lt;&gt;"",$J22,$B$6),X$11+6&gt;=$I22),"実",IF(AND(X$11&lt;=$H22,X$11+6&gt;=$G22),"予",""))</x:f>
      </x:c>
      <x:c r="Y22" s="65" t="str">
        <x:f>IF(AND($I22&lt;&gt;"",Y$11&lt;=IF($J22&lt;&gt;"",$J22,$B$6),Y$11+6&gt;=$I22),"実",IF(AND(Y$11&lt;=$H22,Y$11+6&gt;=$G22),"予",""))</x:f>
      </x:c>
      <x:c r="Z22" s="65" t="str">
        <x:f>IF(AND($I22&lt;&gt;"",Z$11&lt;=IF($J22&lt;&gt;"",$J22,$B$6),Z$11+6&gt;=$I22),"実",IF(AND(Z$11&lt;=$H22,Z$11+6&gt;=$G22),"予",""))</x:f>
      </x:c>
      <x:c r="AA22" s="65" t="str">
        <x:f>IF(AND($I22&lt;&gt;"",AA$11&lt;=IF($J22&lt;&gt;"",$J22,$B$6),AA$11+6&gt;=$I22),"実",IF(AND(AA$11&lt;=$H22,AA$11+6&gt;=$G22),"予",""))</x:f>
      </x:c>
      <x:c r="AB22" s="65" t="str">
        <x:f>IF(AND($I22&lt;&gt;"",AB$11&lt;=IF($J22&lt;&gt;"",$J22,$B$6),AB$11+6&gt;=$I22),"実",IF(AND(AB$11&lt;=$H22,AB$11+6&gt;=$G22),"予",""))</x:f>
      </x:c>
      <x:c r="AC22" s="65" t="str">
        <x:f>IF(AND($I22&lt;&gt;"",AC$11&lt;=IF($J22&lt;&gt;"",$J22,$B$6),AC$11+6&gt;=$I22),"実",IF(AND(AC$11&lt;=$H22,AC$11+6&gt;=$G22),"予",""))</x:f>
      </x:c>
      <x:c r="AD22" s="65" t="str">
        <x:f>IF(AND($I22&lt;&gt;"",AD$11&lt;=IF($J22&lt;&gt;"",$J22,$B$6),AD$11+6&gt;=$I22),"実",IF(AND(AD$11&lt;=$H22,AD$11+6&gt;=$G22),"予",""))</x:f>
      </x:c>
      <x:c r="AE22" s="65" t="str">
        <x:f>IF(AND($I22&lt;&gt;"",AE$11&lt;=IF($J22&lt;&gt;"",$J22,$B$6),AE$11+6&gt;=$I22),"実",IF(AND(AE$11&lt;=$H22,AE$11+6&gt;=$G22),"予",""))</x:f>
      </x:c>
    </x:row>
    <x:row r="23" ht="34" customHeight="1">
      <x:c r="A23" s="56" t="n">
        <x:v>12</x:v>
      </x:c>
      <x:c r="B23" s="56" t="str">
        <x:v>2.6</x:v>
      </x:c>
      <x:c r="C23" s="57" t="str">
        <x:v>基本設計</x:v>
      </x:c>
      <x:c r="D23" s="55" t="str">
        <x:v>共通機能設計</x:v>
      </x:c>
      <x:c r="E23" s="55" t="str">
        <x:v>共通機能仕様書</x:v>
      </x:c>
      <x:c r="F23" s="62" t="str">
        <x:v>高橋</x:v>
      </x:c>
      <x:c r="G23" s="63" t="n">
        <x:v>46286</x:v>
      </x:c>
      <x:c r="H23" s="63" t="n">
        <x:v>46295</x:v>
      </x:c>
      <x:c r="I23" s="63"/>
      <x:c r="J23" s="63"/>
      <x:c r="K23" s="64" t="n">
        <x:v>0</x:v>
      </x:c>
      <x:c r="L23" s="56" t="str">
        <x:f>IF(K23=1,IF(J23&gt;H23,"完了（遅延）","完了"),IF(I23="",IF($B$6&gt;G23,"着手遅れ","未着手"),IF($B$6&gt;H23,"遅延","進行中")))</x:f>
        <x:v>未着手</x:v>
      </x:c>
      <x:c r="M23" s="61" t="n">
        <x:f>IF(K23=1,MAX(0,J23-H23),IF($B$6&gt;H23,$B$6-H23,0))</x:f>
        <x:v>0</x:v>
      </x:c>
      <x:c r="N23" s="54" t="str">
        <x:v>2.1</x:v>
      </x:c>
      <x:c r="O23" s="55" t="str">
        <x:v>認証・ログ・例外・監査を対象</x:v>
      </x:c>
      <x:c r="P23" s="65" t="str">
        <x:f>IF(AND($I23&lt;&gt;"",P$11&lt;=IF($J23&lt;&gt;"",$J23,$B$6),P$11+6&gt;=$I23),"実",IF(AND(P$11&lt;=$H23,P$11+6&gt;=$G23),"予",""))</x:f>
      </x:c>
      <x:c r="Q23" s="65" t="str">
        <x:f>IF(AND($I23&lt;&gt;"",Q$11&lt;=IF($J23&lt;&gt;"",$J23,$B$6),Q$11+6&gt;=$I23),"実",IF(AND(Q$11&lt;=$H23,Q$11+6&gt;=$G23),"予",""))</x:f>
      </x:c>
      <x:c r="R23" s="65" t="str">
        <x:f>IF(AND($I23&lt;&gt;"",R$11&lt;=IF($J23&lt;&gt;"",$J23,$B$6),R$11+6&gt;=$I23),"実",IF(AND(R$11&lt;=$H23,R$11+6&gt;=$G23),"予",""))</x:f>
      </x:c>
      <x:c r="S23" s="65" t="str">
        <x:f>IF(AND($I23&lt;&gt;"",S$11&lt;=IF($J23&lt;&gt;"",$J23,$B$6),S$11+6&gt;=$I23),"実",IF(AND(S$11&lt;=$H23,S$11+6&gt;=$G23),"予",""))</x:f>
        <x:v>予</x:v>
      </x:c>
      <x:c r="T23" s="65" t="str">
        <x:f>IF(AND($I23&lt;&gt;"",T$11&lt;=IF($J23&lt;&gt;"",$J23,$B$6),T$11+6&gt;=$I23),"実",IF(AND(T$11&lt;=$H23,T$11+6&gt;=$G23),"予",""))</x:f>
        <x:v>予</x:v>
      </x:c>
      <x:c r="U23" s="65" t="str">
        <x:f>IF(AND($I23&lt;&gt;"",U$11&lt;=IF($J23&lt;&gt;"",$J23,$B$6),U$11+6&gt;=$I23),"実",IF(AND(U$11&lt;=$H23,U$11+6&gt;=$G23),"予",""))</x:f>
      </x:c>
      <x:c r="V23" s="65" t="str">
        <x:f>IF(AND($I23&lt;&gt;"",V$11&lt;=IF($J23&lt;&gt;"",$J23,$B$6),V$11+6&gt;=$I23),"実",IF(AND(V$11&lt;=$H23,V$11+6&gt;=$G23),"予",""))</x:f>
      </x:c>
      <x:c r="W23" s="65" t="str">
        <x:f>IF(AND($I23&lt;&gt;"",W$11&lt;=IF($J23&lt;&gt;"",$J23,$B$6),W$11+6&gt;=$I23),"実",IF(AND(W$11&lt;=$H23,W$11+6&gt;=$G23),"予",""))</x:f>
      </x:c>
      <x:c r="X23" s="65" t="str">
        <x:f>IF(AND($I23&lt;&gt;"",X$11&lt;=IF($J23&lt;&gt;"",$J23,$B$6),X$11+6&gt;=$I23),"実",IF(AND(X$11&lt;=$H23,X$11+6&gt;=$G23),"予",""))</x:f>
      </x:c>
      <x:c r="Y23" s="65" t="str">
        <x:f>IF(AND($I23&lt;&gt;"",Y$11&lt;=IF($J23&lt;&gt;"",$J23,$B$6),Y$11+6&gt;=$I23),"実",IF(AND(Y$11&lt;=$H23,Y$11+6&gt;=$G23),"予",""))</x:f>
      </x:c>
      <x:c r="Z23" s="65" t="str">
        <x:f>IF(AND($I23&lt;&gt;"",Z$11&lt;=IF($J23&lt;&gt;"",$J23,$B$6),Z$11+6&gt;=$I23),"実",IF(AND(Z$11&lt;=$H23,Z$11+6&gt;=$G23),"予",""))</x:f>
      </x:c>
      <x:c r="AA23" s="65" t="str">
        <x:f>IF(AND($I23&lt;&gt;"",AA$11&lt;=IF($J23&lt;&gt;"",$J23,$B$6),AA$11+6&gt;=$I23),"実",IF(AND(AA$11&lt;=$H23,AA$11+6&gt;=$G23),"予",""))</x:f>
      </x:c>
      <x:c r="AB23" s="65" t="str">
        <x:f>IF(AND($I23&lt;&gt;"",AB$11&lt;=IF($J23&lt;&gt;"",$J23,$B$6),AB$11+6&gt;=$I23),"実",IF(AND(AB$11&lt;=$H23,AB$11+6&gt;=$G23),"予",""))</x:f>
      </x:c>
      <x:c r="AC23" s="65" t="str">
        <x:f>IF(AND($I23&lt;&gt;"",AC$11&lt;=IF($J23&lt;&gt;"",$J23,$B$6),AC$11+6&gt;=$I23),"実",IF(AND(AC$11&lt;=$H23,AC$11+6&gt;=$G23),"予",""))</x:f>
      </x:c>
      <x:c r="AD23" s="65" t="str">
        <x:f>IF(AND($I23&lt;&gt;"",AD$11&lt;=IF($J23&lt;&gt;"",$J23,$B$6),AD$11+6&gt;=$I23),"実",IF(AND(AD$11&lt;=$H23,AD$11+6&gt;=$G23),"予",""))</x:f>
      </x:c>
      <x:c r="AE23" s="65" t="str">
        <x:f>IF(AND($I23&lt;&gt;"",AE$11&lt;=IF($J23&lt;&gt;"",$J23,$B$6),AE$11+6&gt;=$I23),"実",IF(AND(AE$11&lt;=$H23,AE$11+6&gt;=$G23),"予",""))</x:f>
      </x:c>
    </x:row>
    <x:row r="24" ht="34" customHeight="1">
      <x:c r="A24" s="56" t="n">
        <x:v>13</x:v>
      </x:c>
      <x:c r="B24" s="56" t="str">
        <x:v>2.7</x:v>
      </x:c>
      <x:c r="C24" s="57" t="str">
        <x:v>基本設計</x:v>
      </x:c>
      <x:c r="D24" s="55" t="str">
        <x:v>基本設計レビュー</x:v>
      </x:c>
      <x:c r="E24" s="55" t="str">
        <x:v>レビュー記録</x:v>
      </x:c>
      <x:c r="F24" s="62" t="str">
        <x:v>山田</x:v>
      </x:c>
      <x:c r="G24" s="63" t="n">
        <x:v>46296</x:v>
      </x:c>
      <x:c r="H24" s="63" t="n">
        <x:v>46297</x:v>
      </x:c>
      <x:c r="I24" s="63"/>
      <x:c r="J24" s="63"/>
      <x:c r="K24" s="64" t="n">
        <x:v>0</x:v>
      </x:c>
      <x:c r="L24" s="56" t="str">
        <x:f>IF(K24=1,IF(J24&gt;H24,"完了（遅延）","完了"),IF(I24="",IF($B$6&gt;G24,"着手遅れ","未着手"),IF($B$6&gt;H24,"遅延","進行中")))</x:f>
        <x:v>未着手</x:v>
      </x:c>
      <x:c r="M24" s="61" t="n">
        <x:f>IF(K24=1,MAX(0,J24-H24),IF($B$6&gt;H24,$B$6-H24,0))</x:f>
        <x:v>0</x:v>
      </x:c>
      <x:c r="N24" s="54" t="str">
        <x:v>2.1～2.6</x:v>
      </x:c>
      <x:c r="O24" s="55" t="str">
        <x:v>顧客承認を含む</x:v>
      </x:c>
      <x:c r="P24" s="65" t="str">
        <x:f>IF(AND($I24&lt;&gt;"",P$11&lt;=IF($J24&lt;&gt;"",$J24,$B$6),P$11+6&gt;=$I24),"実",IF(AND(P$11&lt;=$H24,P$11+6&gt;=$G24),"予",""))</x:f>
      </x:c>
      <x:c r="Q24" s="65" t="str">
        <x:f>IF(AND($I24&lt;&gt;"",Q$11&lt;=IF($J24&lt;&gt;"",$J24,$B$6),Q$11+6&gt;=$I24),"実",IF(AND(Q$11&lt;=$H24,Q$11+6&gt;=$G24),"予",""))</x:f>
      </x:c>
      <x:c r="R24" s="65" t="str">
        <x:f>IF(AND($I24&lt;&gt;"",R$11&lt;=IF($J24&lt;&gt;"",$J24,$B$6),R$11+6&gt;=$I24),"実",IF(AND(R$11&lt;=$H24,R$11+6&gt;=$G24),"予",""))</x:f>
      </x:c>
      <x:c r="S24" s="65" t="str">
        <x:f>IF(AND($I24&lt;&gt;"",S$11&lt;=IF($J24&lt;&gt;"",$J24,$B$6),S$11+6&gt;=$I24),"実",IF(AND(S$11&lt;=$H24,S$11+6&gt;=$G24),"予",""))</x:f>
      </x:c>
      <x:c r="T24" s="65" t="str">
        <x:f>IF(AND($I24&lt;&gt;"",T$11&lt;=IF($J24&lt;&gt;"",$J24,$B$6),T$11+6&gt;=$I24),"実",IF(AND(T$11&lt;=$H24,T$11+6&gt;=$G24),"予",""))</x:f>
        <x:v>予</x:v>
      </x:c>
      <x:c r="U24" s="65" t="str">
        <x:f>IF(AND($I24&lt;&gt;"",U$11&lt;=IF($J24&lt;&gt;"",$J24,$B$6),U$11+6&gt;=$I24),"実",IF(AND(U$11&lt;=$H24,U$11+6&gt;=$G24),"予",""))</x:f>
      </x:c>
      <x:c r="V24" s="65" t="str">
        <x:f>IF(AND($I24&lt;&gt;"",V$11&lt;=IF($J24&lt;&gt;"",$J24,$B$6),V$11+6&gt;=$I24),"実",IF(AND(V$11&lt;=$H24,V$11+6&gt;=$G24),"予",""))</x:f>
      </x:c>
      <x:c r="W24" s="65" t="str">
        <x:f>IF(AND($I24&lt;&gt;"",W$11&lt;=IF($J24&lt;&gt;"",$J24,$B$6),W$11+6&gt;=$I24),"実",IF(AND(W$11&lt;=$H24,W$11+6&gt;=$G24),"予",""))</x:f>
      </x:c>
      <x:c r="X24" s="65" t="str">
        <x:f>IF(AND($I24&lt;&gt;"",X$11&lt;=IF($J24&lt;&gt;"",$J24,$B$6),X$11+6&gt;=$I24),"実",IF(AND(X$11&lt;=$H24,X$11+6&gt;=$G24),"予",""))</x:f>
      </x:c>
      <x:c r="Y24" s="65" t="str">
        <x:f>IF(AND($I24&lt;&gt;"",Y$11&lt;=IF($J24&lt;&gt;"",$J24,$B$6),Y$11+6&gt;=$I24),"実",IF(AND(Y$11&lt;=$H24,Y$11+6&gt;=$G24),"予",""))</x:f>
      </x:c>
      <x:c r="Z24" s="65" t="str">
        <x:f>IF(AND($I24&lt;&gt;"",Z$11&lt;=IF($J24&lt;&gt;"",$J24,$B$6),Z$11+6&gt;=$I24),"実",IF(AND(Z$11&lt;=$H24,Z$11+6&gt;=$G24),"予",""))</x:f>
      </x:c>
      <x:c r="AA24" s="65" t="str">
        <x:f>IF(AND($I24&lt;&gt;"",AA$11&lt;=IF($J24&lt;&gt;"",$J24,$B$6),AA$11+6&gt;=$I24),"実",IF(AND(AA$11&lt;=$H24,AA$11+6&gt;=$G24),"予",""))</x:f>
      </x:c>
      <x:c r="AB24" s="65" t="str">
        <x:f>IF(AND($I24&lt;&gt;"",AB$11&lt;=IF($J24&lt;&gt;"",$J24,$B$6),AB$11+6&gt;=$I24),"実",IF(AND(AB$11&lt;=$H24,AB$11+6&gt;=$G24),"予",""))</x:f>
      </x:c>
      <x:c r="AC24" s="65" t="str">
        <x:f>IF(AND($I24&lt;&gt;"",AC$11&lt;=IF($J24&lt;&gt;"",$J24,$B$6),AC$11+6&gt;=$I24),"実",IF(AND(AC$11&lt;=$H24,AC$11+6&gt;=$G24),"予",""))</x:f>
      </x:c>
      <x:c r="AD24" s="65" t="str">
        <x:f>IF(AND($I24&lt;&gt;"",AD$11&lt;=IF($J24&lt;&gt;"",$J24,$B$6),AD$11+6&gt;=$I24),"実",IF(AND(AD$11&lt;=$H24,AD$11+6&gt;=$G24),"予",""))</x:f>
      </x:c>
      <x:c r="AE24" s="65" t="str">
        <x:f>IF(AND($I24&lt;&gt;"",AE$11&lt;=IF($J24&lt;&gt;"",$J24,$B$6),AE$11+6&gt;=$I24),"実",IF(AND(AE$11&lt;=$H24,AE$11+6&gt;=$G24),"予",""))</x:f>
      </x:c>
    </x:row>
    <x:row r="25" ht="34" customHeight="1">
      <x:c r="A25" s="56" t="n">
        <x:v>14</x:v>
      </x:c>
      <x:c r="B25" s="56" t="str">
        <x:v>3.1</x:v>
      </x:c>
      <x:c r="C25" s="57" t="str">
        <x:v>詳細設計</x:v>
      </x:c>
      <x:c r="D25" s="55" t="str">
        <x:v>詳細設計</x:v>
      </x:c>
      <x:c r="E25" s="55" t="str">
        <x:v>詳細設計書一式</x:v>
      </x:c>
      <x:c r="F25" s="62" t="str">
        <x:v>高橋</x:v>
      </x:c>
      <x:c r="G25" s="63" t="n">
        <x:v>46300</x:v>
      </x:c>
      <x:c r="H25" s="63" t="n">
        <x:v>46311</x:v>
      </x:c>
      <x:c r="I25" s="63"/>
      <x:c r="J25" s="63"/>
      <x:c r="K25" s="64" t="n">
        <x:v>0</x:v>
      </x:c>
      <x:c r="L25" s="56" t="str">
        <x:f>IF(K25=1,IF(J25&gt;H25,"完了（遅延）","完了"),IF(I25="",IF($B$6&gt;G25,"着手遅れ","未着手"),IF($B$6&gt;H25,"遅延","進行中")))</x:f>
        <x:v>未着手</x:v>
      </x:c>
      <x:c r="M25" s="61" t="n">
        <x:f>IF(K25=1,MAX(0,J25-H25),IF($B$6&gt;H25,$B$6-H25,0))</x:f>
        <x:v>0</x:v>
      </x:c>
      <x:c r="N25" s="54" t="str">
        <x:v>2.7</x:v>
      </x:c>
      <x:c r="O25" s="55" t="str">
        <x:v>クラス・SQL・例外処理を詳細化</x:v>
      </x:c>
      <x:c r="P25" s="65" t="str">
        <x:f>IF(AND($I25&lt;&gt;"",P$11&lt;=IF($J25&lt;&gt;"",$J25,$B$6),P$11+6&gt;=$I25),"実",IF(AND(P$11&lt;=$H25,P$11+6&gt;=$G25),"予",""))</x:f>
      </x:c>
      <x:c r="Q25" s="65" t="str">
        <x:f>IF(AND($I25&lt;&gt;"",Q$11&lt;=IF($J25&lt;&gt;"",$J25,$B$6),Q$11+6&gt;=$I25),"実",IF(AND(Q$11&lt;=$H25,Q$11+6&gt;=$G25),"予",""))</x:f>
      </x:c>
      <x:c r="R25" s="65" t="str">
        <x:f>IF(AND($I25&lt;&gt;"",R$11&lt;=IF($J25&lt;&gt;"",$J25,$B$6),R$11+6&gt;=$I25),"実",IF(AND(R$11&lt;=$H25,R$11+6&gt;=$G25),"予",""))</x:f>
      </x:c>
      <x:c r="S25" s="65" t="str">
        <x:f>IF(AND($I25&lt;&gt;"",S$11&lt;=IF($J25&lt;&gt;"",$J25,$B$6),S$11+6&gt;=$I25),"実",IF(AND(S$11&lt;=$H25,S$11+6&gt;=$G25),"予",""))</x:f>
      </x:c>
      <x:c r="T25" s="65" t="str">
        <x:f>IF(AND($I25&lt;&gt;"",T$11&lt;=IF($J25&lt;&gt;"",$J25,$B$6),T$11+6&gt;=$I25),"実",IF(AND(T$11&lt;=$H25,T$11+6&gt;=$G25),"予",""))</x:f>
      </x:c>
      <x:c r="U25" s="65" t="str">
        <x:f>IF(AND($I25&lt;&gt;"",U$11&lt;=IF($J25&lt;&gt;"",$J25,$B$6),U$11+6&gt;=$I25),"実",IF(AND(U$11&lt;=$H25,U$11+6&gt;=$G25),"予",""))</x:f>
        <x:v>予</x:v>
      </x:c>
      <x:c r="V25" s="65" t="str">
        <x:f>IF(AND($I25&lt;&gt;"",V$11&lt;=IF($J25&lt;&gt;"",$J25,$B$6),V$11+6&gt;=$I25),"実",IF(AND(V$11&lt;=$H25,V$11+6&gt;=$G25),"予",""))</x:f>
        <x:v>予</x:v>
      </x:c>
      <x:c r="W25" s="65" t="str">
        <x:f>IF(AND($I25&lt;&gt;"",W$11&lt;=IF($J25&lt;&gt;"",$J25,$B$6),W$11+6&gt;=$I25),"実",IF(AND(W$11&lt;=$H25,W$11+6&gt;=$G25),"予",""))</x:f>
      </x:c>
      <x:c r="X25" s="65" t="str">
        <x:f>IF(AND($I25&lt;&gt;"",X$11&lt;=IF($J25&lt;&gt;"",$J25,$B$6),X$11+6&gt;=$I25),"実",IF(AND(X$11&lt;=$H25,X$11+6&gt;=$G25),"予",""))</x:f>
      </x:c>
      <x:c r="Y25" s="65" t="str">
        <x:f>IF(AND($I25&lt;&gt;"",Y$11&lt;=IF($J25&lt;&gt;"",$J25,$B$6),Y$11+6&gt;=$I25),"実",IF(AND(Y$11&lt;=$H25,Y$11+6&gt;=$G25),"予",""))</x:f>
      </x:c>
      <x:c r="Z25" s="65" t="str">
        <x:f>IF(AND($I25&lt;&gt;"",Z$11&lt;=IF($J25&lt;&gt;"",$J25,$B$6),Z$11+6&gt;=$I25),"実",IF(AND(Z$11&lt;=$H25,Z$11+6&gt;=$G25),"予",""))</x:f>
      </x:c>
      <x:c r="AA25" s="65" t="str">
        <x:f>IF(AND($I25&lt;&gt;"",AA$11&lt;=IF($J25&lt;&gt;"",$J25,$B$6),AA$11+6&gt;=$I25),"実",IF(AND(AA$11&lt;=$H25,AA$11+6&gt;=$G25),"予",""))</x:f>
      </x:c>
      <x:c r="AB25" s="65" t="str">
        <x:f>IF(AND($I25&lt;&gt;"",AB$11&lt;=IF($J25&lt;&gt;"",$J25,$B$6),AB$11+6&gt;=$I25),"実",IF(AND(AB$11&lt;=$H25,AB$11+6&gt;=$G25),"予",""))</x:f>
      </x:c>
      <x:c r="AC25" s="65" t="str">
        <x:f>IF(AND($I25&lt;&gt;"",AC$11&lt;=IF($J25&lt;&gt;"",$J25,$B$6),AC$11+6&gt;=$I25),"実",IF(AND(AC$11&lt;=$H25,AC$11+6&gt;=$G25),"予",""))</x:f>
      </x:c>
      <x:c r="AD25" s="65" t="str">
        <x:f>IF(AND($I25&lt;&gt;"",AD$11&lt;=IF($J25&lt;&gt;"",$J25,$B$6),AD$11+6&gt;=$I25),"実",IF(AND(AD$11&lt;=$H25,AD$11+6&gt;=$G25),"予",""))</x:f>
      </x:c>
      <x:c r="AE25" s="65" t="str">
        <x:f>IF(AND($I25&lt;&gt;"",AE$11&lt;=IF($J25&lt;&gt;"",$J25,$B$6),AE$11+6&gt;=$I25),"実",IF(AND(AE$11&lt;=$H25,AE$11+6&gt;=$G25),"予",""))</x:f>
      </x:c>
    </x:row>
    <x:row r="26" ht="34" customHeight="1">
      <x:c r="A26" s="56" t="n">
        <x:v>15</x:v>
      </x:c>
      <x:c r="B26" s="56" t="str">
        <x:v>4.1</x:v>
      </x:c>
      <x:c r="C26" s="57" t="str">
        <x:v>製造</x:v>
      </x:c>
      <x:c r="D26" s="55" t="str">
        <x:v>アプリケーション実装</x:v>
      </x:c>
      <x:c r="E26" s="55" t="str">
        <x:v>ソースコード</x:v>
      </x:c>
      <x:c r="F26" s="62" t="str">
        <x:v>開発チーム</x:v>
      </x:c>
      <x:c r="G26" s="63" t="n">
        <x:v>46314</x:v>
      </x:c>
      <x:c r="H26" s="63" t="n">
        <x:v>46332</x:v>
      </x:c>
      <x:c r="I26" s="63"/>
      <x:c r="J26" s="63"/>
      <x:c r="K26" s="64" t="n">
        <x:v>0</x:v>
      </x:c>
      <x:c r="L26" s="56" t="str">
        <x:f>IF(K26=1,IF(J26&gt;H26,"完了（遅延）","完了"),IF(I26="",IF($B$6&gt;G26,"着手遅れ","未着手"),IF($B$6&gt;H26,"遅延","進行中")))</x:f>
        <x:v>未着手</x:v>
      </x:c>
      <x:c r="M26" s="61" t="n">
        <x:f>IF(K26=1,MAX(0,J26-H26),IF($B$6&gt;H26,$B$6-H26,0))</x:f>
        <x:v>0</x:v>
      </x:c>
      <x:c r="N26" s="54" t="str">
        <x:v>3.1</x:v>
      </x:c>
      <x:c r="O26" s="55" t="str">
        <x:v>Spring Boot／Vueを使用</x:v>
      </x:c>
      <x:c r="P26" s="65" t="str">
        <x:f>IF(AND($I26&lt;&gt;"",P$11&lt;=IF($J26&lt;&gt;"",$J26,$B$6),P$11+6&gt;=$I26),"実",IF(AND(P$11&lt;=$H26,P$11+6&gt;=$G26),"予",""))</x:f>
      </x:c>
      <x:c r="Q26" s="65" t="str">
        <x:f>IF(AND($I26&lt;&gt;"",Q$11&lt;=IF($J26&lt;&gt;"",$J26,$B$6),Q$11+6&gt;=$I26),"実",IF(AND(Q$11&lt;=$H26,Q$11+6&gt;=$G26),"予",""))</x:f>
      </x:c>
      <x:c r="R26" s="65" t="str">
        <x:f>IF(AND($I26&lt;&gt;"",R$11&lt;=IF($J26&lt;&gt;"",$J26,$B$6),R$11+6&gt;=$I26),"実",IF(AND(R$11&lt;=$H26,R$11+6&gt;=$G26),"予",""))</x:f>
      </x:c>
      <x:c r="S26" s="65" t="str">
        <x:f>IF(AND($I26&lt;&gt;"",S$11&lt;=IF($J26&lt;&gt;"",$J26,$B$6),S$11+6&gt;=$I26),"実",IF(AND(S$11&lt;=$H26,S$11+6&gt;=$G26),"予",""))</x:f>
      </x:c>
      <x:c r="T26" s="65" t="str">
        <x:f>IF(AND($I26&lt;&gt;"",T$11&lt;=IF($J26&lt;&gt;"",$J26,$B$6),T$11+6&gt;=$I26),"実",IF(AND(T$11&lt;=$H26,T$11+6&gt;=$G26),"予",""))</x:f>
      </x:c>
      <x:c r="U26" s="65" t="str">
        <x:f>IF(AND($I26&lt;&gt;"",U$11&lt;=IF($J26&lt;&gt;"",$J26,$B$6),U$11+6&gt;=$I26),"実",IF(AND(U$11&lt;=$H26,U$11+6&gt;=$G26),"予",""))</x:f>
      </x:c>
      <x:c r="V26" s="65" t="str">
        <x:f>IF(AND($I26&lt;&gt;"",V$11&lt;=IF($J26&lt;&gt;"",$J26,$B$6),V$11+6&gt;=$I26),"実",IF(AND(V$11&lt;=$H26,V$11+6&gt;=$G26),"予",""))</x:f>
      </x:c>
      <x:c r="W26" s="65" t="str">
        <x:f>IF(AND($I26&lt;&gt;"",W$11&lt;=IF($J26&lt;&gt;"",$J26,$B$6),W$11+6&gt;=$I26),"実",IF(AND(W$11&lt;=$H26,W$11+6&gt;=$G26),"予",""))</x:f>
        <x:v>予</x:v>
      </x:c>
      <x:c r="X26" s="65" t="str">
        <x:f>IF(AND($I26&lt;&gt;"",X$11&lt;=IF($J26&lt;&gt;"",$J26,$B$6),X$11+6&gt;=$I26),"実",IF(AND(X$11&lt;=$H26,X$11+6&gt;=$G26),"予",""))</x:f>
        <x:v>予</x:v>
      </x:c>
      <x:c r="Y26" s="65" t="str">
        <x:f>IF(AND($I26&lt;&gt;"",Y$11&lt;=IF($J26&lt;&gt;"",$J26,$B$6),Y$11+6&gt;=$I26),"実",IF(AND(Y$11&lt;=$H26,Y$11+6&gt;=$G26),"予",""))</x:f>
        <x:v>予</x:v>
      </x:c>
      <x:c r="Z26" s="65" t="str">
        <x:f>IF(AND($I26&lt;&gt;"",Z$11&lt;=IF($J26&lt;&gt;"",$J26,$B$6),Z$11+6&gt;=$I26),"実",IF(AND(Z$11&lt;=$H26,Z$11+6&gt;=$G26),"予",""))</x:f>
      </x:c>
      <x:c r="AA26" s="65" t="str">
        <x:f>IF(AND($I26&lt;&gt;"",AA$11&lt;=IF($J26&lt;&gt;"",$J26,$B$6),AA$11+6&gt;=$I26),"実",IF(AND(AA$11&lt;=$H26,AA$11+6&gt;=$G26),"予",""))</x:f>
      </x:c>
      <x:c r="AB26" s="65" t="str">
        <x:f>IF(AND($I26&lt;&gt;"",AB$11&lt;=IF($J26&lt;&gt;"",$J26,$B$6),AB$11+6&gt;=$I26),"実",IF(AND(AB$11&lt;=$H26,AB$11+6&gt;=$G26),"予",""))</x:f>
      </x:c>
      <x:c r="AC26" s="65" t="str">
        <x:f>IF(AND($I26&lt;&gt;"",AC$11&lt;=IF($J26&lt;&gt;"",$J26,$B$6),AC$11+6&gt;=$I26),"実",IF(AND(AC$11&lt;=$H26,AC$11+6&gt;=$G26),"予",""))</x:f>
      </x:c>
      <x:c r="AD26" s="65" t="str">
        <x:f>IF(AND($I26&lt;&gt;"",AD$11&lt;=IF($J26&lt;&gt;"",$J26,$B$6),AD$11+6&gt;=$I26),"実",IF(AND(AD$11&lt;=$H26,AD$11+6&gt;=$G26),"予",""))</x:f>
      </x:c>
      <x:c r="AE26" s="65" t="str">
        <x:f>IF(AND($I26&lt;&gt;"",AE$11&lt;=IF($J26&lt;&gt;"",$J26,$B$6),AE$11+6&gt;=$I26),"実",IF(AND(AE$11&lt;=$H26,AE$11+6&gt;=$G26),"予",""))</x:f>
      </x:c>
    </x:row>
    <x:row r="27" ht="34" customHeight="1">
      <x:c r="A27" s="56" t="n">
        <x:v>16</x:v>
      </x:c>
      <x:c r="B27" s="56" t="str">
        <x:v>5.1</x:v>
      </x:c>
      <x:c r="C27" s="57" t="str">
        <x:v>単体テスト</x:v>
      </x:c>
      <x:c r="D27" s="55" t="str">
        <x:v>単体テスト</x:v>
      </x:c>
      <x:c r="E27" s="55" t="str">
        <x:v>単体テスト結果</x:v>
      </x:c>
      <x:c r="F27" s="62" t="str">
        <x:v>開発チーム</x:v>
      </x:c>
      <x:c r="G27" s="63" t="n">
        <x:v>46328</x:v>
      </x:c>
      <x:c r="H27" s="63" t="n">
        <x:v>46339</x:v>
      </x:c>
      <x:c r="I27" s="63"/>
      <x:c r="J27" s="63"/>
      <x:c r="K27" s="64" t="n">
        <x:v>0</x:v>
      </x:c>
      <x:c r="L27" s="56" t="str">
        <x:f>IF(K27=1,IF(J27&gt;H27,"完了（遅延）","完了"),IF(I27="",IF($B$6&gt;G27,"着手遅れ","未着手"),IF($B$6&gt;H27,"遅延","進行中")))</x:f>
        <x:v>未着手</x:v>
      </x:c>
      <x:c r="M27" s="61" t="n">
        <x:f>IF(K27=1,MAX(0,J27-H27),IF($B$6&gt;H27,$B$6-H27,0))</x:f>
        <x:v>0</x:v>
      </x:c>
      <x:c r="N27" s="54" t="str">
        <x:v>4.1</x:v>
      </x:c>
      <x:c r="O27" s="55" t="str">
        <x:v>実装完了部分から順次実施</x:v>
      </x:c>
      <x:c r="P27" s="65" t="str">
        <x:f>IF(AND($I27&lt;&gt;"",P$11&lt;=IF($J27&lt;&gt;"",$J27,$B$6),P$11+6&gt;=$I27),"実",IF(AND(P$11&lt;=$H27,P$11+6&gt;=$G27),"予",""))</x:f>
      </x:c>
      <x:c r="Q27" s="65" t="str">
        <x:f>IF(AND($I27&lt;&gt;"",Q$11&lt;=IF($J27&lt;&gt;"",$J27,$B$6),Q$11+6&gt;=$I27),"実",IF(AND(Q$11&lt;=$H27,Q$11+6&gt;=$G27),"予",""))</x:f>
      </x:c>
      <x:c r="R27" s="65" t="str">
        <x:f>IF(AND($I27&lt;&gt;"",R$11&lt;=IF($J27&lt;&gt;"",$J27,$B$6),R$11+6&gt;=$I27),"実",IF(AND(R$11&lt;=$H27,R$11+6&gt;=$G27),"予",""))</x:f>
      </x:c>
      <x:c r="S27" s="65" t="str">
        <x:f>IF(AND($I27&lt;&gt;"",S$11&lt;=IF($J27&lt;&gt;"",$J27,$B$6),S$11+6&gt;=$I27),"実",IF(AND(S$11&lt;=$H27,S$11+6&gt;=$G27),"予",""))</x:f>
      </x:c>
      <x:c r="T27" s="65" t="str">
        <x:f>IF(AND($I27&lt;&gt;"",T$11&lt;=IF($J27&lt;&gt;"",$J27,$B$6),T$11+6&gt;=$I27),"実",IF(AND(T$11&lt;=$H27,T$11+6&gt;=$G27),"予",""))</x:f>
      </x:c>
      <x:c r="U27" s="65" t="str">
        <x:f>IF(AND($I27&lt;&gt;"",U$11&lt;=IF($J27&lt;&gt;"",$J27,$B$6),U$11+6&gt;=$I27),"実",IF(AND(U$11&lt;=$H27,U$11+6&gt;=$G27),"予",""))</x:f>
      </x:c>
      <x:c r="V27" s="65" t="str">
        <x:f>IF(AND($I27&lt;&gt;"",V$11&lt;=IF($J27&lt;&gt;"",$J27,$B$6),V$11+6&gt;=$I27),"実",IF(AND(V$11&lt;=$H27,V$11+6&gt;=$G27),"予",""))</x:f>
      </x:c>
      <x:c r="W27" s="65" t="str">
        <x:f>IF(AND($I27&lt;&gt;"",W$11&lt;=IF($J27&lt;&gt;"",$J27,$B$6),W$11+6&gt;=$I27),"実",IF(AND(W$11&lt;=$H27,W$11+6&gt;=$G27),"予",""))</x:f>
      </x:c>
      <x:c r="X27" s="65" t="str">
        <x:f>IF(AND($I27&lt;&gt;"",X$11&lt;=IF($J27&lt;&gt;"",$J27,$B$6),X$11+6&gt;=$I27),"実",IF(AND(X$11&lt;=$H27,X$11+6&gt;=$G27),"予",""))</x:f>
      </x:c>
      <x:c r="Y27" s="65" t="str">
        <x:f>IF(AND($I27&lt;&gt;"",Y$11&lt;=IF($J27&lt;&gt;"",$J27,$B$6),Y$11+6&gt;=$I27),"実",IF(AND(Y$11&lt;=$H27,Y$11+6&gt;=$G27),"予",""))</x:f>
        <x:v>予</x:v>
      </x:c>
      <x:c r="Z27" s="65" t="str">
        <x:f>IF(AND($I27&lt;&gt;"",Z$11&lt;=IF($J27&lt;&gt;"",$J27,$B$6),Z$11+6&gt;=$I27),"実",IF(AND(Z$11&lt;=$H27,Z$11+6&gt;=$G27),"予",""))</x:f>
        <x:v>予</x:v>
      </x:c>
      <x:c r="AA27" s="65" t="str">
        <x:f>IF(AND($I27&lt;&gt;"",AA$11&lt;=IF($J27&lt;&gt;"",$J27,$B$6),AA$11+6&gt;=$I27),"実",IF(AND(AA$11&lt;=$H27,AA$11+6&gt;=$G27),"予",""))</x:f>
      </x:c>
      <x:c r="AB27" s="65" t="str">
        <x:f>IF(AND($I27&lt;&gt;"",AB$11&lt;=IF($J27&lt;&gt;"",$J27,$B$6),AB$11+6&gt;=$I27),"実",IF(AND(AB$11&lt;=$H27,AB$11+6&gt;=$G27),"予",""))</x:f>
      </x:c>
      <x:c r="AC27" s="65" t="str">
        <x:f>IF(AND($I27&lt;&gt;"",AC$11&lt;=IF($J27&lt;&gt;"",$J27,$B$6),AC$11+6&gt;=$I27),"実",IF(AND(AC$11&lt;=$H27,AC$11+6&gt;=$G27),"予",""))</x:f>
      </x:c>
      <x:c r="AD27" s="65" t="str">
        <x:f>IF(AND($I27&lt;&gt;"",AD$11&lt;=IF($J27&lt;&gt;"",$J27,$B$6),AD$11+6&gt;=$I27),"実",IF(AND(AD$11&lt;=$H27,AD$11+6&gt;=$G27),"予",""))</x:f>
      </x:c>
      <x:c r="AE27" s="65" t="str">
        <x:f>IF(AND($I27&lt;&gt;"",AE$11&lt;=IF($J27&lt;&gt;"",$J27,$B$6),AE$11+6&gt;=$I27),"実",IF(AND(AE$11&lt;=$H27,AE$11+6&gt;=$G27),"予",""))</x:f>
      </x:c>
    </x:row>
    <x:row r="28" ht="34" customHeight="1">
      <x:c r="A28" s="56" t="n">
        <x:v>17</x:v>
      </x:c>
      <x:c r="B28" s="56" t="str">
        <x:v>5.2</x:v>
      </x:c>
      <x:c r="C28" s="57" t="str">
        <x:v>結合テスト</x:v>
      </x:c>
      <x:c r="D28" s="55" t="str">
        <x:v>結合テスト仕様作成</x:v>
      </x:c>
      <x:c r="E28" s="55" t="str">
        <x:v>結合テスト仕様書</x:v>
      </x:c>
      <x:c r="F28" s="62" t="str">
        <x:v>佐藤</x:v>
      </x:c>
      <x:c r="G28" s="63" t="n">
        <x:v>46321</x:v>
      </x:c>
      <x:c r="H28" s="63" t="n">
        <x:v>46332</x:v>
      </x:c>
      <x:c r="I28" s="63"/>
      <x:c r="J28" s="63"/>
      <x:c r="K28" s="64" t="n">
        <x:v>0</x:v>
      </x:c>
      <x:c r="L28" s="56" t="str">
        <x:f>IF(K28=1,IF(J28&gt;H28,"完了（遅延）","完了"),IF(I28="",IF($B$6&gt;G28,"着手遅れ","未着手"),IF($B$6&gt;H28,"遅延","進行中")))</x:f>
        <x:v>未着手</x:v>
      </x:c>
      <x:c r="M28" s="61" t="n">
        <x:f>IF(K28=1,MAX(0,J28-H28),IF($B$6&gt;H28,$B$6-H28,0))</x:f>
        <x:v>0</x:v>
      </x:c>
      <x:c r="N28" s="54" t="str">
        <x:v>3.1</x:v>
      </x:c>
      <x:c r="O28" s="55" t="str">
        <x:v>画面・API・DB連携を対象</x:v>
      </x:c>
      <x:c r="P28" s="65" t="str">
        <x:f>IF(AND($I28&lt;&gt;"",P$11&lt;=IF($J28&lt;&gt;"",$J28,$B$6),P$11+6&gt;=$I28),"実",IF(AND(P$11&lt;=$H28,P$11+6&gt;=$G28),"予",""))</x:f>
      </x:c>
      <x:c r="Q28" s="65" t="str">
        <x:f>IF(AND($I28&lt;&gt;"",Q$11&lt;=IF($J28&lt;&gt;"",$J28,$B$6),Q$11+6&gt;=$I28),"実",IF(AND(Q$11&lt;=$H28,Q$11+6&gt;=$G28),"予",""))</x:f>
      </x:c>
      <x:c r="R28" s="65" t="str">
        <x:f>IF(AND($I28&lt;&gt;"",R$11&lt;=IF($J28&lt;&gt;"",$J28,$B$6),R$11+6&gt;=$I28),"実",IF(AND(R$11&lt;=$H28,R$11+6&gt;=$G28),"予",""))</x:f>
      </x:c>
      <x:c r="S28" s="65" t="str">
        <x:f>IF(AND($I28&lt;&gt;"",S$11&lt;=IF($J28&lt;&gt;"",$J28,$B$6),S$11+6&gt;=$I28),"実",IF(AND(S$11&lt;=$H28,S$11+6&gt;=$G28),"予",""))</x:f>
      </x:c>
      <x:c r="T28" s="65" t="str">
        <x:f>IF(AND($I28&lt;&gt;"",T$11&lt;=IF($J28&lt;&gt;"",$J28,$B$6),T$11+6&gt;=$I28),"実",IF(AND(T$11&lt;=$H28,T$11+6&gt;=$G28),"予",""))</x:f>
      </x:c>
      <x:c r="U28" s="65" t="str">
        <x:f>IF(AND($I28&lt;&gt;"",U$11&lt;=IF($J28&lt;&gt;"",$J28,$B$6),U$11+6&gt;=$I28),"実",IF(AND(U$11&lt;=$H28,U$11+6&gt;=$G28),"予",""))</x:f>
      </x:c>
      <x:c r="V28" s="65" t="str">
        <x:f>IF(AND($I28&lt;&gt;"",V$11&lt;=IF($J28&lt;&gt;"",$J28,$B$6),V$11+6&gt;=$I28),"実",IF(AND(V$11&lt;=$H28,V$11+6&gt;=$G28),"予",""))</x:f>
      </x:c>
      <x:c r="W28" s="65" t="str">
        <x:f>IF(AND($I28&lt;&gt;"",W$11&lt;=IF($J28&lt;&gt;"",$J28,$B$6),W$11+6&gt;=$I28),"実",IF(AND(W$11&lt;=$H28,W$11+6&gt;=$G28),"予",""))</x:f>
      </x:c>
      <x:c r="X28" s="65" t="str">
        <x:f>IF(AND($I28&lt;&gt;"",X$11&lt;=IF($J28&lt;&gt;"",$J28,$B$6),X$11+6&gt;=$I28),"実",IF(AND(X$11&lt;=$H28,X$11+6&gt;=$G28),"予",""))</x:f>
        <x:v>予</x:v>
      </x:c>
      <x:c r="Y28" s="65" t="str">
        <x:f>IF(AND($I28&lt;&gt;"",Y$11&lt;=IF($J28&lt;&gt;"",$J28,$B$6),Y$11+6&gt;=$I28),"実",IF(AND(Y$11&lt;=$H28,Y$11+6&gt;=$G28),"予",""))</x:f>
        <x:v>予</x:v>
      </x:c>
      <x:c r="Z28" s="65" t="str">
        <x:f>IF(AND($I28&lt;&gt;"",Z$11&lt;=IF($J28&lt;&gt;"",$J28,$B$6),Z$11+6&gt;=$I28),"実",IF(AND(Z$11&lt;=$H28,Z$11+6&gt;=$G28),"予",""))</x:f>
      </x:c>
      <x:c r="AA28" s="65" t="str">
        <x:f>IF(AND($I28&lt;&gt;"",AA$11&lt;=IF($J28&lt;&gt;"",$J28,$B$6),AA$11+6&gt;=$I28),"実",IF(AND(AA$11&lt;=$H28,AA$11+6&gt;=$G28),"予",""))</x:f>
      </x:c>
      <x:c r="AB28" s="65" t="str">
        <x:f>IF(AND($I28&lt;&gt;"",AB$11&lt;=IF($J28&lt;&gt;"",$J28,$B$6),AB$11+6&gt;=$I28),"実",IF(AND(AB$11&lt;=$H28,AB$11+6&gt;=$G28),"予",""))</x:f>
      </x:c>
      <x:c r="AC28" s="65" t="str">
        <x:f>IF(AND($I28&lt;&gt;"",AC$11&lt;=IF($J28&lt;&gt;"",$J28,$B$6),AC$11+6&gt;=$I28),"実",IF(AND(AC$11&lt;=$H28,AC$11+6&gt;=$G28),"予",""))</x:f>
      </x:c>
      <x:c r="AD28" s="65" t="str">
        <x:f>IF(AND($I28&lt;&gt;"",AD$11&lt;=IF($J28&lt;&gt;"",$J28,$B$6),AD$11+6&gt;=$I28),"実",IF(AND(AD$11&lt;=$H28,AD$11+6&gt;=$G28),"予",""))</x:f>
      </x:c>
      <x:c r="AE28" s="65" t="str">
        <x:f>IF(AND($I28&lt;&gt;"",AE$11&lt;=IF($J28&lt;&gt;"",$J28,$B$6),AE$11+6&gt;=$I28),"実",IF(AND(AE$11&lt;=$H28,AE$11+6&gt;=$G28),"予",""))</x:f>
      </x:c>
    </x:row>
    <x:row r="29" ht="34" customHeight="1">
      <x:c r="A29" s="56" t="n">
        <x:v>18</x:v>
      </x:c>
      <x:c r="B29" s="56" t="str">
        <x:v>5.3</x:v>
      </x:c>
      <x:c r="C29" s="57" t="str">
        <x:v>結合テスト</x:v>
      </x:c>
      <x:c r="D29" s="55" t="str">
        <x:v>結合テスト実施</x:v>
      </x:c>
      <x:c r="E29" s="55" t="str">
        <x:v>結合テスト結果</x:v>
      </x:c>
      <x:c r="F29" s="62" t="str">
        <x:v>テストチーム</x:v>
      </x:c>
      <x:c r="G29" s="63" t="n">
        <x:v>46342</x:v>
      </x:c>
      <x:c r="H29" s="63" t="n">
        <x:v>46353</x:v>
      </x:c>
      <x:c r="I29" s="63"/>
      <x:c r="J29" s="63"/>
      <x:c r="K29" s="64" t="n">
        <x:v>0</x:v>
      </x:c>
      <x:c r="L29" s="56" t="str">
        <x:f>IF(K29=1,IF(J29&gt;H29,"完了（遅延）","完了"),IF(I29="",IF($B$6&gt;G29,"着手遅れ","未着手"),IF($B$6&gt;H29,"遅延","進行中")))</x:f>
        <x:v>未着手</x:v>
      </x:c>
      <x:c r="M29" s="61" t="n">
        <x:f>IF(K29=1,MAX(0,J29-H29),IF($B$6&gt;H29,$B$6-H29,0))</x:f>
        <x:v>0</x:v>
      </x:c>
      <x:c r="N29" s="54" t="str">
        <x:v>5.1, 5.2</x:v>
      </x:c>
      <x:c r="O29" s="55" t="str">
        <x:v>重大障害0件を完了条件とする</x:v>
      </x:c>
      <x:c r="P29" s="65" t="str">
        <x:f>IF(AND($I29&lt;&gt;"",P$11&lt;=IF($J29&lt;&gt;"",$J29,$B$6),P$11+6&gt;=$I29),"実",IF(AND(P$11&lt;=$H29,P$11+6&gt;=$G29),"予",""))</x:f>
      </x:c>
      <x:c r="Q29" s="65" t="str">
        <x:f>IF(AND($I29&lt;&gt;"",Q$11&lt;=IF($J29&lt;&gt;"",$J29,$B$6),Q$11+6&gt;=$I29),"実",IF(AND(Q$11&lt;=$H29,Q$11+6&gt;=$G29),"予",""))</x:f>
      </x:c>
      <x:c r="R29" s="65" t="str">
        <x:f>IF(AND($I29&lt;&gt;"",R$11&lt;=IF($J29&lt;&gt;"",$J29,$B$6),R$11+6&gt;=$I29),"実",IF(AND(R$11&lt;=$H29,R$11+6&gt;=$G29),"予",""))</x:f>
      </x:c>
      <x:c r="S29" s="65" t="str">
        <x:f>IF(AND($I29&lt;&gt;"",S$11&lt;=IF($J29&lt;&gt;"",$J29,$B$6),S$11+6&gt;=$I29),"実",IF(AND(S$11&lt;=$H29,S$11+6&gt;=$G29),"予",""))</x:f>
      </x:c>
      <x:c r="T29" s="65" t="str">
        <x:f>IF(AND($I29&lt;&gt;"",T$11&lt;=IF($J29&lt;&gt;"",$J29,$B$6),T$11+6&gt;=$I29),"実",IF(AND(T$11&lt;=$H29,T$11+6&gt;=$G29),"予",""))</x:f>
      </x:c>
      <x:c r="U29" s="65" t="str">
        <x:f>IF(AND($I29&lt;&gt;"",U$11&lt;=IF($J29&lt;&gt;"",$J29,$B$6),U$11+6&gt;=$I29),"実",IF(AND(U$11&lt;=$H29,U$11+6&gt;=$G29),"予",""))</x:f>
      </x:c>
      <x:c r="V29" s="65" t="str">
        <x:f>IF(AND($I29&lt;&gt;"",V$11&lt;=IF($J29&lt;&gt;"",$J29,$B$6),V$11+6&gt;=$I29),"実",IF(AND(V$11&lt;=$H29,V$11+6&gt;=$G29),"予",""))</x:f>
      </x:c>
      <x:c r="W29" s="65" t="str">
        <x:f>IF(AND($I29&lt;&gt;"",W$11&lt;=IF($J29&lt;&gt;"",$J29,$B$6),W$11+6&gt;=$I29),"実",IF(AND(W$11&lt;=$H29,W$11+6&gt;=$G29),"予",""))</x:f>
      </x:c>
      <x:c r="X29" s="65" t="str">
        <x:f>IF(AND($I29&lt;&gt;"",X$11&lt;=IF($J29&lt;&gt;"",$J29,$B$6),X$11+6&gt;=$I29),"実",IF(AND(X$11&lt;=$H29,X$11+6&gt;=$G29),"予",""))</x:f>
      </x:c>
      <x:c r="Y29" s="65" t="str">
        <x:f>IF(AND($I29&lt;&gt;"",Y$11&lt;=IF($J29&lt;&gt;"",$J29,$B$6),Y$11+6&gt;=$I29),"実",IF(AND(Y$11&lt;=$H29,Y$11+6&gt;=$G29),"予",""))</x:f>
      </x:c>
      <x:c r="Z29" s="65" t="str">
        <x:f>IF(AND($I29&lt;&gt;"",Z$11&lt;=IF($J29&lt;&gt;"",$J29,$B$6),Z$11+6&gt;=$I29),"実",IF(AND(Z$11&lt;=$H29,Z$11+6&gt;=$G29),"予",""))</x:f>
      </x:c>
      <x:c r="AA29" s="65" t="str">
        <x:f>IF(AND($I29&lt;&gt;"",AA$11&lt;=IF($J29&lt;&gt;"",$J29,$B$6),AA$11+6&gt;=$I29),"実",IF(AND(AA$11&lt;=$H29,AA$11+6&gt;=$G29),"予",""))</x:f>
        <x:v>予</x:v>
      </x:c>
      <x:c r="AB29" s="65" t="str">
        <x:f>IF(AND($I29&lt;&gt;"",AB$11&lt;=IF($J29&lt;&gt;"",$J29,$B$6),AB$11+6&gt;=$I29),"実",IF(AND(AB$11&lt;=$H29,AB$11+6&gt;=$G29),"予",""))</x:f>
        <x:v>予</x:v>
      </x:c>
      <x:c r="AC29" s="65" t="str">
        <x:f>IF(AND($I29&lt;&gt;"",AC$11&lt;=IF($J29&lt;&gt;"",$J29,$B$6),AC$11+6&gt;=$I29),"実",IF(AND(AC$11&lt;=$H29,AC$11+6&gt;=$G29),"予",""))</x:f>
      </x:c>
      <x:c r="AD29" s="65" t="str">
        <x:f>IF(AND($I29&lt;&gt;"",AD$11&lt;=IF($J29&lt;&gt;"",$J29,$B$6),AD$11+6&gt;=$I29),"実",IF(AND(AD$11&lt;=$H29,AD$11+6&gt;=$G29),"予",""))</x:f>
      </x:c>
      <x:c r="AE29" s="65" t="str">
        <x:f>IF(AND($I29&lt;&gt;"",AE$11&lt;=IF($J29&lt;&gt;"",$J29,$B$6),AE$11+6&gt;=$I29),"実",IF(AND(AE$11&lt;=$H29,AE$11+6&gt;=$G29),"予",""))</x:f>
      </x:c>
    </x:row>
    <x:row r="30" ht="34" customHeight="1">
      <x:c r="A30" s="56" t="n">
        <x:v>19</x:v>
      </x:c>
      <x:c r="B30" s="56" t="str">
        <x:v>5.4</x:v>
      </x:c>
      <x:c r="C30" s="57" t="str">
        <x:v>統合テスト</x:v>
      </x:c>
      <x:c r="D30" s="55" t="str">
        <x:v>統合テスト実施</x:v>
      </x:c>
      <x:c r="E30" s="55" t="str">
        <x:v>統合テスト結果</x:v>
      </x:c>
      <x:c r="F30" s="62" t="str">
        <x:v>テストチーム</x:v>
      </x:c>
      <x:c r="G30" s="63" t="n">
        <x:v>46356</x:v>
      </x:c>
      <x:c r="H30" s="63" t="n">
        <x:v>46365</x:v>
      </x:c>
      <x:c r="I30" s="63"/>
      <x:c r="J30" s="63"/>
      <x:c r="K30" s="64" t="n">
        <x:v>0</x:v>
      </x:c>
      <x:c r="L30" s="56" t="str">
        <x:f>IF(K30=1,IF(J30&gt;H30,"完了（遅延）","完了"),IF(I30="",IF($B$6&gt;G30,"着手遅れ","未着手"),IF($B$6&gt;H30,"遅延","進行中")))</x:f>
        <x:v>未着手</x:v>
      </x:c>
      <x:c r="M30" s="61" t="n">
        <x:f>IF(K30=1,MAX(0,J30-H30),IF($B$6&gt;H30,$B$6-H30,0))</x:f>
        <x:v>0</x:v>
      </x:c>
      <x:c r="N30" s="54" t="str">
        <x:v>5.3</x:v>
      </x:c>
      <x:c r="O30" s="55" t="str">
        <x:v>外部認証・バッチを含む全体確認</x:v>
      </x:c>
      <x:c r="P30" s="65" t="str">
        <x:f>IF(AND($I30&lt;&gt;"",P$11&lt;=IF($J30&lt;&gt;"",$J30,$B$6),P$11+6&gt;=$I30),"実",IF(AND(P$11&lt;=$H30,P$11+6&gt;=$G30),"予",""))</x:f>
      </x:c>
      <x:c r="Q30" s="65" t="str">
        <x:f>IF(AND($I30&lt;&gt;"",Q$11&lt;=IF($J30&lt;&gt;"",$J30,$B$6),Q$11+6&gt;=$I30),"実",IF(AND(Q$11&lt;=$H30,Q$11+6&gt;=$G30),"予",""))</x:f>
      </x:c>
      <x:c r="R30" s="65" t="str">
        <x:f>IF(AND($I30&lt;&gt;"",R$11&lt;=IF($J30&lt;&gt;"",$J30,$B$6),R$11+6&gt;=$I30),"実",IF(AND(R$11&lt;=$H30,R$11+6&gt;=$G30),"予",""))</x:f>
      </x:c>
      <x:c r="S30" s="65" t="str">
        <x:f>IF(AND($I30&lt;&gt;"",S$11&lt;=IF($J30&lt;&gt;"",$J30,$B$6),S$11+6&gt;=$I30),"実",IF(AND(S$11&lt;=$H30,S$11+6&gt;=$G30),"予",""))</x:f>
      </x:c>
      <x:c r="T30" s="65" t="str">
        <x:f>IF(AND($I30&lt;&gt;"",T$11&lt;=IF($J30&lt;&gt;"",$J30,$B$6),T$11+6&gt;=$I30),"実",IF(AND(T$11&lt;=$H30,T$11+6&gt;=$G30),"予",""))</x:f>
      </x:c>
      <x:c r="U30" s="65" t="str">
        <x:f>IF(AND($I30&lt;&gt;"",U$11&lt;=IF($J30&lt;&gt;"",$J30,$B$6),U$11+6&gt;=$I30),"実",IF(AND(U$11&lt;=$H30,U$11+6&gt;=$G30),"予",""))</x:f>
      </x:c>
      <x:c r="V30" s="65" t="str">
        <x:f>IF(AND($I30&lt;&gt;"",V$11&lt;=IF($J30&lt;&gt;"",$J30,$B$6),V$11+6&gt;=$I30),"実",IF(AND(V$11&lt;=$H30,V$11+6&gt;=$G30),"予",""))</x:f>
      </x:c>
      <x:c r="W30" s="65" t="str">
        <x:f>IF(AND($I30&lt;&gt;"",W$11&lt;=IF($J30&lt;&gt;"",$J30,$B$6),W$11+6&gt;=$I30),"実",IF(AND(W$11&lt;=$H30,W$11+6&gt;=$G30),"予",""))</x:f>
      </x:c>
      <x:c r="X30" s="65" t="str">
        <x:f>IF(AND($I30&lt;&gt;"",X$11&lt;=IF($J30&lt;&gt;"",$J30,$B$6),X$11+6&gt;=$I30),"実",IF(AND(X$11&lt;=$H30,X$11+6&gt;=$G30),"予",""))</x:f>
      </x:c>
      <x:c r="Y30" s="65" t="str">
        <x:f>IF(AND($I30&lt;&gt;"",Y$11&lt;=IF($J30&lt;&gt;"",$J30,$B$6),Y$11+6&gt;=$I30),"実",IF(AND(Y$11&lt;=$H30,Y$11+6&gt;=$G30),"予",""))</x:f>
      </x:c>
      <x:c r="Z30" s="65" t="str">
        <x:f>IF(AND($I30&lt;&gt;"",Z$11&lt;=IF($J30&lt;&gt;"",$J30,$B$6),Z$11+6&gt;=$I30),"実",IF(AND(Z$11&lt;=$H30,Z$11+6&gt;=$G30),"予",""))</x:f>
      </x:c>
      <x:c r="AA30" s="65" t="str">
        <x:f>IF(AND($I30&lt;&gt;"",AA$11&lt;=IF($J30&lt;&gt;"",$J30,$B$6),AA$11+6&gt;=$I30),"実",IF(AND(AA$11&lt;=$H30,AA$11+6&gt;=$G30),"予",""))</x:f>
      </x:c>
      <x:c r="AB30" s="65" t="str">
        <x:f>IF(AND($I30&lt;&gt;"",AB$11&lt;=IF($J30&lt;&gt;"",$J30,$B$6),AB$11+6&gt;=$I30),"実",IF(AND(AB$11&lt;=$H30,AB$11+6&gt;=$G30),"予",""))</x:f>
      </x:c>
      <x:c r="AC30" s="65" t="str">
        <x:f>IF(AND($I30&lt;&gt;"",AC$11&lt;=IF($J30&lt;&gt;"",$J30,$B$6),AC$11+6&gt;=$I30),"実",IF(AND(AC$11&lt;=$H30,AC$11+6&gt;=$G30),"予",""))</x:f>
        <x:v>予</x:v>
      </x:c>
      <x:c r="AD30" s="65" t="str">
        <x:f>IF(AND($I30&lt;&gt;"",AD$11&lt;=IF($J30&lt;&gt;"",$J30,$B$6),AD$11+6&gt;=$I30),"実",IF(AND(AD$11&lt;=$H30,AD$11+6&gt;=$G30),"予",""))</x:f>
        <x:v>予</x:v>
      </x:c>
      <x:c r="AE30" s="65" t="str">
        <x:f>IF(AND($I30&lt;&gt;"",AE$11&lt;=IF($J30&lt;&gt;"",$J30,$B$6),AE$11+6&gt;=$I30),"実",IF(AND(AE$11&lt;=$H30,AE$11+6&gt;=$G30),"予",""))</x:f>
      </x:c>
    </x:row>
    <x:row r="31" ht="34" customHeight="1">
      <x:c r="A31" s="56" t="n">
        <x:v>20</x:v>
      </x:c>
      <x:c r="B31" s="56" t="str">
        <x:v>6.1</x:v>
      </x:c>
      <x:c r="C31" s="57" t="str">
        <x:v>リリース</x:v>
      </x:c>
      <x:c r="D31" s="55" t="str">
        <x:v>受入支援・本番リリース</x:v>
      </x:c>
      <x:c r="E31" s="55" t="str">
        <x:v>受入記録／リリース記録</x:v>
      </x:c>
      <x:c r="F31" s="62" t="str">
        <x:v>高橋</x:v>
      </x:c>
      <x:c r="G31" s="63" t="n">
        <x:v>46366</x:v>
      </x:c>
      <x:c r="H31" s="63" t="n">
        <x:v>46374</x:v>
      </x:c>
      <x:c r="I31" s="63"/>
      <x:c r="J31" s="63"/>
      <x:c r="K31" s="64" t="n">
        <x:v>0</x:v>
      </x:c>
      <x:c r="L31" s="56" t="str">
        <x:f>IF(K31=1,IF(J31&gt;H31,"完了（遅延）","完了"),IF(I31="",IF($B$6&gt;G31,"着手遅れ","未着手"),IF($B$6&gt;H31,"遅延","進行中")))</x:f>
        <x:v>未着手</x:v>
      </x:c>
      <x:c r="M31" s="61" t="n">
        <x:f>IF(K31=1,MAX(0,J31-H31),IF($B$6&gt;H31,$B$6-H31,0))</x:f>
        <x:v>0</x:v>
      </x:c>
      <x:c r="N31" s="54" t="str">
        <x:v>5.4</x:v>
      </x:c>
      <x:c r="O31" s="55" t="str">
        <x:v>12/18 20:00に本番切替予定</x:v>
      </x:c>
      <x:c r="P31" s="65" t="str">
        <x:f>IF(AND($I31&lt;&gt;"",P$11&lt;=IF($J31&lt;&gt;"",$J31,$B$6),P$11+6&gt;=$I31),"実",IF(AND(P$11&lt;=$H31,P$11+6&gt;=$G31),"予",""))</x:f>
      </x:c>
      <x:c r="Q31" s="65" t="str">
        <x:f>IF(AND($I31&lt;&gt;"",Q$11&lt;=IF($J31&lt;&gt;"",$J31,$B$6),Q$11+6&gt;=$I31),"実",IF(AND(Q$11&lt;=$H31,Q$11+6&gt;=$G31),"予",""))</x:f>
      </x:c>
      <x:c r="R31" s="65" t="str">
        <x:f>IF(AND($I31&lt;&gt;"",R$11&lt;=IF($J31&lt;&gt;"",$J31,$B$6),R$11+6&gt;=$I31),"実",IF(AND(R$11&lt;=$H31,R$11+6&gt;=$G31),"予",""))</x:f>
      </x:c>
      <x:c r="S31" s="65" t="str">
        <x:f>IF(AND($I31&lt;&gt;"",S$11&lt;=IF($J31&lt;&gt;"",$J31,$B$6),S$11+6&gt;=$I31),"実",IF(AND(S$11&lt;=$H31,S$11+6&gt;=$G31),"予",""))</x:f>
      </x:c>
      <x:c r="T31" s="65" t="str">
        <x:f>IF(AND($I31&lt;&gt;"",T$11&lt;=IF($J31&lt;&gt;"",$J31,$B$6),T$11+6&gt;=$I31),"実",IF(AND(T$11&lt;=$H31,T$11+6&gt;=$G31),"予",""))</x:f>
      </x:c>
      <x:c r="U31" s="65" t="str">
        <x:f>IF(AND($I31&lt;&gt;"",U$11&lt;=IF($J31&lt;&gt;"",$J31,$B$6),U$11+6&gt;=$I31),"実",IF(AND(U$11&lt;=$H31,U$11+6&gt;=$G31),"予",""))</x:f>
      </x:c>
      <x:c r="V31" s="65" t="str">
        <x:f>IF(AND($I31&lt;&gt;"",V$11&lt;=IF($J31&lt;&gt;"",$J31,$B$6),V$11+6&gt;=$I31),"実",IF(AND(V$11&lt;=$H31,V$11+6&gt;=$G31),"予",""))</x:f>
      </x:c>
      <x:c r="W31" s="65" t="str">
        <x:f>IF(AND($I31&lt;&gt;"",W$11&lt;=IF($J31&lt;&gt;"",$J31,$B$6),W$11+6&gt;=$I31),"実",IF(AND(W$11&lt;=$H31,W$11+6&gt;=$G31),"予",""))</x:f>
      </x:c>
      <x:c r="X31" s="65" t="str">
        <x:f>IF(AND($I31&lt;&gt;"",X$11&lt;=IF($J31&lt;&gt;"",$J31,$B$6),X$11+6&gt;=$I31),"実",IF(AND(X$11&lt;=$H31,X$11+6&gt;=$G31),"予",""))</x:f>
      </x:c>
      <x:c r="Y31" s="65" t="str">
        <x:f>IF(AND($I31&lt;&gt;"",Y$11&lt;=IF($J31&lt;&gt;"",$J31,$B$6),Y$11+6&gt;=$I31),"実",IF(AND(Y$11&lt;=$H31,Y$11+6&gt;=$G31),"予",""))</x:f>
      </x:c>
      <x:c r="Z31" s="65" t="str">
        <x:f>IF(AND($I31&lt;&gt;"",Z$11&lt;=IF($J31&lt;&gt;"",$J31,$B$6),Z$11+6&gt;=$I31),"実",IF(AND(Z$11&lt;=$H31,Z$11+6&gt;=$G31),"予",""))</x:f>
      </x:c>
      <x:c r="AA31" s="65" t="str">
        <x:f>IF(AND($I31&lt;&gt;"",AA$11&lt;=IF($J31&lt;&gt;"",$J31,$B$6),AA$11+6&gt;=$I31),"実",IF(AND(AA$11&lt;=$H31,AA$11+6&gt;=$G31),"予",""))</x:f>
      </x:c>
      <x:c r="AB31" s="65" t="str">
        <x:f>IF(AND($I31&lt;&gt;"",AB$11&lt;=IF($J31&lt;&gt;"",$J31,$B$6),AB$11+6&gt;=$I31),"実",IF(AND(AB$11&lt;=$H31,AB$11+6&gt;=$G31),"予",""))</x:f>
      </x:c>
      <x:c r="AC31" s="65" t="str">
        <x:f>IF(AND($I31&lt;&gt;"",AC$11&lt;=IF($J31&lt;&gt;"",$J31,$B$6),AC$11+6&gt;=$I31),"実",IF(AND(AC$11&lt;=$H31,AC$11+6&gt;=$G31),"予",""))</x:f>
      </x:c>
      <x:c r="AD31" s="65" t="str">
        <x:f>IF(AND($I31&lt;&gt;"",AD$11&lt;=IF($J31&lt;&gt;"",$J31,$B$6),AD$11+6&gt;=$I31),"実",IF(AND(AD$11&lt;=$H31,AD$11+6&gt;=$G31),"予",""))</x:f>
        <x:v>予</x:v>
      </x:c>
      <x:c r="AE31" s="65" t="str">
        <x:f>IF(AND($I31&lt;&gt;"",AE$11&lt;=IF($J31&lt;&gt;"",$J31,$B$6),AE$11+6&gt;=$I31),"実",IF(AND(AE$11&lt;=$H31,AE$11+6&gt;=$G31),"予",""))</x:f>
        <x:v>予</x:v>
      </x:c>
    </x:row>
  </x:sheetData>
  <x:conditionalFormatting sqref="K12:K3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{8DC7EEB5-A64D-A0FF-9E8C-D48FCF535429}</x14:id>
        </x:ext>
      </x:extLst>
    </x:cfRule>
  </x:conditionalFormatting>
  <x:conditionalFormatting sqref="L12:L31">
    <x:cfRule type="expression" dxfId="0" priority="2">
      <x:formula>$L12="完了"</x:formula>
    </x:cfRule>
    <x:cfRule type="expression" dxfId="1" priority="3">
      <x:formula>$L12="進行中"</x:formula>
    </x:cfRule>
    <x:cfRule type="expression" dxfId="2" priority="4">
      <x:formula>OR($L12="遅延",$L12="着手遅れ")</x:formula>
    </x:cfRule>
    <x:cfRule type="expression" dxfId="3" priority="5">
      <x:formula>$L12="完了（遅延）"</x:formula>
    </x:cfRule>
  </x:conditionalFormatting>
  <x:conditionalFormatting sqref="M12:M31">
    <x:cfRule type="cellIs" dxfId="4" priority="6" operator="greaterThan">
      <x:formula>0</x:formula>
    </x:cfRule>
  </x:conditionalFormatting>
  <x:conditionalFormatting sqref="P12:AE31">
    <x:cfRule type="containsText" dxfId="5" priority="7" operator="containsText" text="予"/>
    <x:cfRule type="containsText" dxfId="6" priority="8" operator="containsText" text="実"/>
  </x:conditionalFormatting>
  <x:dataValidations count="2">
    <x:dataValidation type="list" sqref="F12:F31">
      <x:formula1>"高橋,佐藤,伊藤,鈴木,山田,開発チーム,テストチーム"</x:formula1>
    </x:dataValidation>
    <x:dataValidation type="decimal" operator="between" sqref="K12:K3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bd7d1390d9434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DC7EEB5-A64D-A0FF-9E8C-D48FCF535429}">
            <x14:dataBar gradient="1">
              <x14:cfvo type="min"/>
              <x14:cfvo type="max"/>
              <x14:fillColor rgb="FF5B9BD5"/>
            </x14:dataBar>
          </x14:cfRule>
          <xm:sqref>K12:K31</xm:sqref>
        </x14:conditionalFormatting>
      </x14:conditionalFormattings>
    </x:ext>
  </x:extLst>
</x:worksheet>
</file>